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21"/>
  <workbookPr/>
  <xr:revisionPtr revIDLastSave="0" documentId="8_{DB6F4762-DC04-4536-B46C-E19C9F8B9B6C}" xr6:coauthVersionLast="47" xr6:coauthVersionMax="47" xr10:uidLastSave="{00000000-0000-0000-0000-000000000000}"/>
  <bookViews>
    <workbookView xWindow="0" yWindow="0" windowWidth="0" windowHeight="0" activeTab="2" xr2:uid="{00000000-000D-0000-FFFF-FFFF00000000}"/>
  </bookViews>
  <sheets>
    <sheet name="Cleaned_dataset" sheetId="7" r:id="rId1"/>
    <sheet name="Working_dataset" sheetId="5" r:id="rId2"/>
    <sheet name="Original_dataset" sheetId="3" r:id="rId3"/>
    <sheet name="Brand Reference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7" l="1"/>
  <c r="N2" i="7"/>
  <c r="M2" i="7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151" i="7"/>
  <c r="M152" i="7"/>
  <c r="M153" i="7"/>
  <c r="M154" i="7"/>
  <c r="M155" i="7"/>
  <c r="M156" i="7"/>
  <c r="M157" i="7"/>
  <c r="M158" i="7"/>
  <c r="M159" i="7"/>
  <c r="M160" i="7"/>
  <c r="M161" i="7"/>
  <c r="M162" i="7"/>
  <c r="M163" i="7"/>
  <c r="M164" i="7"/>
  <c r="M165" i="7"/>
  <c r="M166" i="7"/>
  <c r="M167" i="7"/>
  <c r="M168" i="7"/>
  <c r="M169" i="7"/>
  <c r="M170" i="7"/>
  <c r="M171" i="7"/>
  <c r="M172" i="7"/>
  <c r="M173" i="7"/>
  <c r="M174" i="7"/>
  <c r="M175" i="7"/>
  <c r="M176" i="7"/>
  <c r="M177" i="7"/>
  <c r="M178" i="7"/>
  <c r="M179" i="7"/>
  <c r="M180" i="7"/>
  <c r="M181" i="7"/>
  <c r="M182" i="7"/>
  <c r="M183" i="7"/>
  <c r="M184" i="7"/>
  <c r="M185" i="7"/>
  <c r="M186" i="7"/>
  <c r="M187" i="7"/>
  <c r="M188" i="7"/>
  <c r="M189" i="7"/>
  <c r="M190" i="7"/>
  <c r="M191" i="7"/>
  <c r="M192" i="7"/>
  <c r="M193" i="7"/>
  <c r="M194" i="7"/>
  <c r="M195" i="7"/>
  <c r="M196" i="7"/>
  <c r="M197" i="7"/>
  <c r="M198" i="7"/>
  <c r="M199" i="7"/>
  <c r="M200" i="7"/>
  <c r="M201" i="7"/>
  <c r="M202" i="7"/>
  <c r="M203" i="7"/>
  <c r="M204" i="7"/>
  <c r="M205" i="7"/>
  <c r="M206" i="7"/>
  <c r="M207" i="7"/>
  <c r="M208" i="7"/>
  <c r="M209" i="7"/>
  <c r="M210" i="7"/>
  <c r="M211" i="7"/>
  <c r="M212" i="7"/>
  <c r="M213" i="7"/>
  <c r="M214" i="7"/>
  <c r="M215" i="7"/>
  <c r="M216" i="7"/>
  <c r="M217" i="7"/>
  <c r="M218" i="7"/>
  <c r="M219" i="7"/>
  <c r="M220" i="7"/>
  <c r="M221" i="7"/>
  <c r="N3" i="7"/>
  <c r="N4" i="7"/>
  <c r="N5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3" i="7"/>
  <c r="N164" i="7"/>
  <c r="N165" i="7"/>
  <c r="N166" i="7"/>
  <c r="N167" i="7"/>
  <c r="N168" i="7"/>
  <c r="N169" i="7"/>
  <c r="N170" i="7"/>
  <c r="N171" i="7"/>
  <c r="N172" i="7"/>
  <c r="N173" i="7"/>
  <c r="N174" i="7"/>
  <c r="N175" i="7"/>
  <c r="N176" i="7"/>
  <c r="N177" i="7"/>
  <c r="N178" i="7"/>
  <c r="N179" i="7"/>
  <c r="N180" i="7"/>
  <c r="N181" i="7"/>
  <c r="N182" i="7"/>
  <c r="N183" i="7"/>
  <c r="N184" i="7"/>
  <c r="N185" i="7"/>
  <c r="N186" i="7"/>
  <c r="N187" i="7"/>
  <c r="N188" i="7"/>
  <c r="N189" i="7"/>
  <c r="N190" i="7"/>
  <c r="N191" i="7"/>
  <c r="N192" i="7"/>
  <c r="N193" i="7"/>
  <c r="N194" i="7"/>
  <c r="N195" i="7"/>
  <c r="N196" i="7"/>
  <c r="N197" i="7"/>
  <c r="N198" i="7"/>
  <c r="N199" i="7"/>
  <c r="N200" i="7"/>
  <c r="N201" i="7"/>
  <c r="N202" i="7"/>
  <c r="N203" i="7"/>
  <c r="N204" i="7"/>
  <c r="N205" i="7"/>
  <c r="N206" i="7"/>
  <c r="N207" i="7"/>
  <c r="N208" i="7"/>
  <c r="N209" i="7"/>
  <c r="N210" i="7"/>
  <c r="N211" i="7"/>
  <c r="N212" i="7"/>
  <c r="N213" i="7"/>
  <c r="N214" i="7"/>
  <c r="N215" i="7"/>
  <c r="N216" i="7"/>
  <c r="N217" i="7"/>
  <c r="N218" i="7"/>
  <c r="N219" i="7"/>
  <c r="N220" i="7"/>
  <c r="N221" i="7"/>
  <c r="C2" i="5"/>
  <c r="E2" i="5"/>
  <c r="G2" i="5"/>
  <c r="I2" i="5" a="1"/>
  <c r="I2" i="5"/>
  <c r="K2" i="5"/>
  <c r="N2" i="5"/>
  <c r="R2" i="5"/>
  <c r="C3" i="5"/>
  <c r="E3" i="5"/>
  <c r="G3" i="5"/>
  <c r="I3" i="5" a="1"/>
  <c r="I3" i="5"/>
  <c r="K3" i="5"/>
  <c r="N3" i="5"/>
  <c r="R3" i="5"/>
  <c r="C4" i="5"/>
  <c r="E4" i="5"/>
  <c r="G4" i="5"/>
  <c r="I4" i="5" a="1"/>
  <c r="I4" i="5"/>
  <c r="K4" i="5"/>
  <c r="N4" i="5"/>
  <c r="R4" i="5"/>
  <c r="C5" i="5"/>
  <c r="E5" i="5"/>
  <c r="G5" i="5"/>
  <c r="I5" i="5" a="1"/>
  <c r="I5" i="5"/>
  <c r="K5" i="5"/>
  <c r="N5" i="5"/>
  <c r="R5" i="5"/>
  <c r="C6" i="5"/>
  <c r="E6" i="5"/>
  <c r="G6" i="5"/>
  <c r="I6" i="5" a="1"/>
  <c r="I6" i="5"/>
  <c r="K6" i="5"/>
  <c r="N6" i="5"/>
  <c r="R6" i="5"/>
  <c r="C7" i="5"/>
  <c r="E7" i="5"/>
  <c r="G7" i="5"/>
  <c r="I7" i="5" a="1"/>
  <c r="I7" i="5"/>
  <c r="K7" i="5"/>
  <c r="N7" i="5"/>
  <c r="R7" i="5"/>
  <c r="C8" i="5"/>
  <c r="E8" i="5"/>
  <c r="G8" i="5"/>
  <c r="I8" i="5" a="1"/>
  <c r="I8" i="5"/>
  <c r="K8" i="5"/>
  <c r="N8" i="5"/>
  <c r="R8" i="5"/>
  <c r="C9" i="5"/>
  <c r="E9" i="5"/>
  <c r="G9" i="5"/>
  <c r="I9" i="5" a="1"/>
  <c r="I9" i="5"/>
  <c r="K9" i="5"/>
  <c r="N9" i="5"/>
  <c r="R9" i="5"/>
  <c r="C10" i="5"/>
  <c r="E10" i="5"/>
  <c r="G10" i="5"/>
  <c r="I10" i="5" a="1"/>
  <c r="I10" i="5"/>
  <c r="K10" i="5"/>
  <c r="N10" i="5"/>
  <c r="R10" i="5"/>
  <c r="C11" i="5"/>
  <c r="E11" i="5"/>
  <c r="G11" i="5"/>
  <c r="I11" i="5" a="1"/>
  <c r="I11" i="5"/>
  <c r="K11" i="5"/>
  <c r="N11" i="5"/>
  <c r="R11" i="5"/>
  <c r="C12" i="5"/>
  <c r="E12" i="5"/>
  <c r="G12" i="5"/>
  <c r="I12" i="5" a="1"/>
  <c r="I12" i="5"/>
  <c r="K12" i="5"/>
  <c r="N12" i="5"/>
  <c r="R12" i="5"/>
  <c r="C13" i="5"/>
  <c r="E13" i="5"/>
  <c r="G13" i="5"/>
  <c r="I13" i="5" a="1"/>
  <c r="I13" i="5"/>
  <c r="K13" i="5"/>
  <c r="N13" i="5"/>
  <c r="R13" i="5"/>
  <c r="C14" i="5"/>
  <c r="E14" i="5"/>
  <c r="G14" i="5"/>
  <c r="I14" i="5" a="1"/>
  <c r="I14" i="5"/>
  <c r="K14" i="5"/>
  <c r="N14" i="5"/>
  <c r="R14" i="5"/>
  <c r="C15" i="5"/>
  <c r="E15" i="5"/>
  <c r="G15" i="5"/>
  <c r="I15" i="5" a="1"/>
  <c r="I15" i="5"/>
  <c r="K15" i="5"/>
  <c r="N15" i="5"/>
  <c r="R15" i="5"/>
  <c r="C16" i="5"/>
  <c r="E16" i="5"/>
  <c r="G16" i="5"/>
  <c r="I16" i="5" a="1"/>
  <c r="I16" i="5"/>
  <c r="K16" i="5"/>
  <c r="N16" i="5"/>
  <c r="R16" i="5"/>
  <c r="C17" i="5"/>
  <c r="E17" i="5"/>
  <c r="G17" i="5"/>
  <c r="I17" i="5" a="1"/>
  <c r="I17" i="5"/>
  <c r="K17" i="5"/>
  <c r="N17" i="5"/>
  <c r="R17" i="5"/>
  <c r="C18" i="5"/>
  <c r="E18" i="5"/>
  <c r="G18" i="5"/>
  <c r="I18" i="5" a="1"/>
  <c r="I18" i="5"/>
  <c r="K18" i="5"/>
  <c r="N18" i="5"/>
  <c r="R18" i="5"/>
  <c r="C19" i="5"/>
  <c r="E19" i="5"/>
  <c r="G19" i="5"/>
  <c r="I19" i="5" a="1"/>
  <c r="I19" i="5"/>
  <c r="K19" i="5"/>
  <c r="N19" i="5"/>
  <c r="R19" i="5"/>
  <c r="C20" i="5"/>
  <c r="E20" i="5"/>
  <c r="G20" i="5"/>
  <c r="I20" i="5" a="1"/>
  <c r="I20" i="5"/>
  <c r="K20" i="5"/>
  <c r="N20" i="5"/>
  <c r="R20" i="5"/>
  <c r="C21" i="5"/>
  <c r="E21" i="5"/>
  <c r="G21" i="5"/>
  <c r="I21" i="5" a="1"/>
  <c r="I21" i="5"/>
  <c r="K21" i="5"/>
  <c r="N21" i="5"/>
  <c r="R21" i="5"/>
  <c r="C22" i="5"/>
  <c r="E22" i="5"/>
  <c r="G22" i="5"/>
  <c r="I22" i="5" a="1"/>
  <c r="I22" i="5"/>
  <c r="K22" i="5"/>
  <c r="N22" i="5"/>
  <c r="R22" i="5"/>
  <c r="C23" i="5"/>
  <c r="E23" i="5"/>
  <c r="G23" i="5"/>
  <c r="I23" i="5" a="1"/>
  <c r="I23" i="5"/>
  <c r="K23" i="5"/>
  <c r="N23" i="5"/>
  <c r="R23" i="5"/>
  <c r="C24" i="5"/>
  <c r="E24" i="5"/>
  <c r="G24" i="5"/>
  <c r="I24" i="5" a="1"/>
  <c r="I24" i="5"/>
  <c r="K24" i="5"/>
  <c r="N24" i="5"/>
  <c r="R24" i="5"/>
  <c r="C25" i="5"/>
  <c r="E25" i="5"/>
  <c r="G25" i="5"/>
  <c r="I25" i="5" a="1"/>
  <c r="I25" i="5"/>
  <c r="K25" i="5"/>
  <c r="N25" i="5"/>
  <c r="R25" i="5"/>
  <c r="C26" i="5"/>
  <c r="E26" i="5"/>
  <c r="G26" i="5"/>
  <c r="I26" i="5" a="1"/>
  <c r="I26" i="5"/>
  <c r="K26" i="5"/>
  <c r="N26" i="5"/>
  <c r="R26" i="5"/>
  <c r="C27" i="5"/>
  <c r="E27" i="5"/>
  <c r="G27" i="5"/>
  <c r="I27" i="5" a="1"/>
  <c r="I27" i="5"/>
  <c r="K27" i="5"/>
  <c r="N27" i="5"/>
  <c r="R27" i="5"/>
  <c r="C28" i="5"/>
  <c r="E28" i="5"/>
  <c r="G28" i="5"/>
  <c r="I28" i="5" a="1"/>
  <c r="I28" i="5"/>
  <c r="K28" i="5"/>
  <c r="N28" i="5"/>
  <c r="R28" i="5"/>
  <c r="C29" i="5"/>
  <c r="E29" i="5"/>
  <c r="G29" i="5"/>
  <c r="I29" i="5" a="1"/>
  <c r="I29" i="5"/>
  <c r="K29" i="5"/>
  <c r="N29" i="5"/>
  <c r="R29" i="5"/>
  <c r="C30" i="5"/>
  <c r="E30" i="5"/>
  <c r="G30" i="5"/>
  <c r="I30" i="5" a="1"/>
  <c r="I30" i="5"/>
  <c r="K30" i="5"/>
  <c r="N30" i="5"/>
  <c r="R30" i="5"/>
  <c r="C31" i="5"/>
  <c r="E31" i="5"/>
  <c r="G31" i="5"/>
  <c r="I31" i="5" a="1"/>
  <c r="I31" i="5"/>
  <c r="K31" i="5"/>
  <c r="N31" i="5"/>
  <c r="R31" i="5"/>
  <c r="C32" i="5"/>
  <c r="E32" i="5"/>
  <c r="G32" i="5"/>
  <c r="I32" i="5" a="1"/>
  <c r="I32" i="5"/>
  <c r="K32" i="5"/>
  <c r="N32" i="5"/>
  <c r="R32" i="5"/>
  <c r="C33" i="5"/>
  <c r="E33" i="5"/>
  <c r="G33" i="5"/>
  <c r="I33" i="5" a="1"/>
  <c r="I33" i="5"/>
  <c r="K33" i="5"/>
  <c r="N33" i="5"/>
  <c r="R33" i="5"/>
  <c r="C34" i="5"/>
  <c r="E34" i="5"/>
  <c r="G34" i="5"/>
  <c r="I34" i="5" a="1"/>
  <c r="I34" i="5"/>
  <c r="K34" i="5"/>
  <c r="N34" i="5"/>
  <c r="R34" i="5"/>
  <c r="C35" i="5"/>
  <c r="E35" i="5"/>
  <c r="G35" i="5"/>
  <c r="I35" i="5" a="1"/>
  <c r="I35" i="5"/>
  <c r="K35" i="5"/>
  <c r="N35" i="5"/>
  <c r="R35" i="5"/>
  <c r="C36" i="5"/>
  <c r="E36" i="5"/>
  <c r="G36" i="5"/>
  <c r="I36" i="5" a="1"/>
  <c r="I36" i="5"/>
  <c r="K36" i="5"/>
  <c r="N36" i="5"/>
  <c r="R36" i="5"/>
  <c r="C37" i="5"/>
  <c r="E37" i="5"/>
  <c r="G37" i="5"/>
  <c r="I37" i="5" a="1"/>
  <c r="I37" i="5"/>
  <c r="K37" i="5"/>
  <c r="N37" i="5"/>
  <c r="R37" i="5"/>
  <c r="C38" i="5"/>
  <c r="E38" i="5"/>
  <c r="G38" i="5"/>
  <c r="I38" i="5" a="1"/>
  <c r="I38" i="5"/>
  <c r="K38" i="5"/>
  <c r="N38" i="5"/>
  <c r="R38" i="5"/>
  <c r="C39" i="5"/>
  <c r="E39" i="5"/>
  <c r="G39" i="5"/>
  <c r="I39" i="5" a="1"/>
  <c r="I39" i="5"/>
  <c r="K39" i="5"/>
  <c r="N39" i="5"/>
  <c r="R39" i="5"/>
  <c r="C40" i="5"/>
  <c r="E40" i="5"/>
  <c r="G40" i="5"/>
  <c r="I40" i="5" a="1"/>
  <c r="I40" i="5"/>
  <c r="K40" i="5"/>
  <c r="N40" i="5"/>
  <c r="R40" i="5"/>
  <c r="C41" i="5"/>
  <c r="E41" i="5"/>
  <c r="G41" i="5"/>
  <c r="I41" i="5" a="1"/>
  <c r="I41" i="5"/>
  <c r="K41" i="5"/>
  <c r="N41" i="5"/>
  <c r="R41" i="5"/>
  <c r="C42" i="5"/>
  <c r="E42" i="5"/>
  <c r="G42" i="5"/>
  <c r="I42" i="5" a="1"/>
  <c r="I42" i="5"/>
  <c r="K42" i="5"/>
  <c r="N42" i="5"/>
  <c r="R42" i="5"/>
  <c r="C43" i="5"/>
  <c r="E43" i="5"/>
  <c r="G43" i="5"/>
  <c r="I43" i="5" a="1"/>
  <c r="I43" i="5"/>
  <c r="K43" i="5"/>
  <c r="N43" i="5"/>
  <c r="R43" i="5"/>
  <c r="C44" i="5"/>
  <c r="E44" i="5"/>
  <c r="G44" i="5"/>
  <c r="I44" i="5" a="1"/>
  <c r="I44" i="5"/>
  <c r="K44" i="5"/>
  <c r="N44" i="5"/>
  <c r="R44" i="5"/>
  <c r="C45" i="5"/>
  <c r="E45" i="5"/>
  <c r="G45" i="5"/>
  <c r="I45" i="5" a="1"/>
  <c r="I45" i="5"/>
  <c r="K45" i="5"/>
  <c r="N45" i="5"/>
  <c r="R45" i="5"/>
  <c r="C46" i="5"/>
  <c r="E46" i="5"/>
  <c r="G46" i="5"/>
  <c r="I46" i="5" a="1"/>
  <c r="I46" i="5"/>
  <c r="K46" i="5"/>
  <c r="N46" i="5"/>
  <c r="R46" i="5"/>
  <c r="C47" i="5"/>
  <c r="E47" i="5"/>
  <c r="G47" i="5"/>
  <c r="I47" i="5" a="1"/>
  <c r="I47" i="5"/>
  <c r="K47" i="5"/>
  <c r="N47" i="5"/>
  <c r="R47" i="5"/>
  <c r="C48" i="5"/>
  <c r="E48" i="5"/>
  <c r="G48" i="5"/>
  <c r="I48" i="5" a="1"/>
  <c r="I48" i="5"/>
  <c r="K48" i="5"/>
  <c r="N48" i="5"/>
  <c r="R48" i="5"/>
  <c r="C49" i="5"/>
  <c r="E49" i="5"/>
  <c r="G49" i="5"/>
  <c r="I49" i="5" a="1"/>
  <c r="I49" i="5"/>
  <c r="K49" i="5"/>
  <c r="N49" i="5"/>
  <c r="R49" i="5"/>
  <c r="C50" i="5"/>
  <c r="E50" i="5"/>
  <c r="G50" i="5"/>
  <c r="I50" i="5" a="1"/>
  <c r="I50" i="5"/>
  <c r="K50" i="5"/>
  <c r="N50" i="5"/>
  <c r="R50" i="5"/>
  <c r="C51" i="5"/>
  <c r="E51" i="5"/>
  <c r="G51" i="5"/>
  <c r="I51" i="5" a="1"/>
  <c r="I51" i="5"/>
  <c r="K51" i="5"/>
  <c r="N51" i="5"/>
  <c r="R51" i="5"/>
  <c r="C52" i="5"/>
  <c r="E52" i="5"/>
  <c r="G52" i="5"/>
  <c r="I52" i="5" a="1"/>
  <c r="I52" i="5"/>
  <c r="K52" i="5"/>
  <c r="N52" i="5"/>
  <c r="R52" i="5"/>
  <c r="C53" i="5"/>
  <c r="E53" i="5"/>
  <c r="G53" i="5"/>
  <c r="I53" i="5" a="1"/>
  <c r="I53" i="5"/>
  <c r="K53" i="5"/>
  <c r="N53" i="5"/>
  <c r="R53" i="5"/>
  <c r="C54" i="5"/>
  <c r="E54" i="5"/>
  <c r="G54" i="5"/>
  <c r="I54" i="5" a="1"/>
  <c r="I54" i="5"/>
  <c r="K54" i="5"/>
  <c r="N54" i="5"/>
  <c r="R54" i="5"/>
  <c r="C55" i="5"/>
  <c r="E55" i="5"/>
  <c r="G55" i="5"/>
  <c r="I55" i="5" a="1"/>
  <c r="I55" i="5"/>
  <c r="K55" i="5"/>
  <c r="N55" i="5"/>
  <c r="R55" i="5"/>
  <c r="C56" i="5"/>
  <c r="E56" i="5"/>
  <c r="G56" i="5"/>
  <c r="I56" i="5" a="1"/>
  <c r="I56" i="5"/>
  <c r="K56" i="5"/>
  <c r="N56" i="5"/>
  <c r="R56" i="5"/>
  <c r="C57" i="5"/>
  <c r="E57" i="5"/>
  <c r="G57" i="5"/>
  <c r="I57" i="5" a="1"/>
  <c r="I57" i="5"/>
  <c r="K57" i="5"/>
  <c r="N57" i="5"/>
  <c r="R57" i="5"/>
  <c r="C58" i="5"/>
  <c r="E58" i="5"/>
  <c r="G58" i="5"/>
  <c r="I58" i="5" a="1"/>
  <c r="I58" i="5"/>
  <c r="K58" i="5"/>
  <c r="N58" i="5"/>
  <c r="R58" i="5"/>
  <c r="C59" i="5"/>
  <c r="E59" i="5"/>
  <c r="G59" i="5"/>
  <c r="I59" i="5" a="1"/>
  <c r="I59" i="5"/>
  <c r="K59" i="5"/>
  <c r="N59" i="5"/>
  <c r="R59" i="5"/>
  <c r="C60" i="5"/>
  <c r="E60" i="5"/>
  <c r="G60" i="5"/>
  <c r="I60" i="5" a="1"/>
  <c r="I60" i="5"/>
  <c r="K60" i="5"/>
  <c r="N60" i="5"/>
  <c r="R60" i="5"/>
  <c r="C61" i="5"/>
  <c r="E61" i="5"/>
  <c r="G61" i="5"/>
  <c r="I61" i="5" a="1"/>
  <c r="I61" i="5"/>
  <c r="K61" i="5"/>
  <c r="N61" i="5"/>
  <c r="R61" i="5"/>
  <c r="C62" i="5"/>
  <c r="E62" i="5"/>
  <c r="G62" i="5"/>
  <c r="I62" i="5" a="1"/>
  <c r="I62" i="5"/>
  <c r="K62" i="5"/>
  <c r="N62" i="5"/>
  <c r="R62" i="5"/>
  <c r="C63" i="5"/>
  <c r="E63" i="5"/>
  <c r="G63" i="5"/>
  <c r="I63" i="5" a="1"/>
  <c r="I63" i="5"/>
  <c r="K63" i="5"/>
  <c r="N63" i="5"/>
  <c r="R63" i="5"/>
  <c r="C64" i="5"/>
  <c r="E64" i="5"/>
  <c r="G64" i="5"/>
  <c r="I64" i="5" a="1"/>
  <c r="I64" i="5"/>
  <c r="K64" i="5"/>
  <c r="N64" i="5"/>
  <c r="R64" i="5"/>
  <c r="C65" i="5"/>
  <c r="E65" i="5"/>
  <c r="G65" i="5"/>
  <c r="I65" i="5" a="1"/>
  <c r="I65" i="5"/>
  <c r="K65" i="5"/>
  <c r="N65" i="5"/>
  <c r="R65" i="5"/>
  <c r="C66" i="5"/>
  <c r="E66" i="5"/>
  <c r="G66" i="5"/>
  <c r="I66" i="5" a="1"/>
  <c r="I66" i="5"/>
  <c r="K66" i="5"/>
  <c r="N66" i="5"/>
  <c r="R66" i="5"/>
  <c r="C67" i="5"/>
  <c r="E67" i="5"/>
  <c r="G67" i="5"/>
  <c r="I67" i="5" a="1"/>
  <c r="I67" i="5"/>
  <c r="K67" i="5"/>
  <c r="N67" i="5"/>
  <c r="R67" i="5"/>
  <c r="C68" i="5"/>
  <c r="E68" i="5"/>
  <c r="G68" i="5"/>
  <c r="I68" i="5" a="1"/>
  <c r="I68" i="5"/>
  <c r="K68" i="5"/>
  <c r="N68" i="5"/>
  <c r="R68" i="5"/>
  <c r="C69" i="5"/>
  <c r="E69" i="5"/>
  <c r="G69" i="5"/>
  <c r="I69" i="5" a="1"/>
  <c r="I69" i="5"/>
  <c r="K69" i="5"/>
  <c r="N69" i="5"/>
  <c r="R69" i="5"/>
  <c r="C70" i="5"/>
  <c r="E70" i="5"/>
  <c r="G70" i="5"/>
  <c r="I70" i="5" a="1"/>
  <c r="I70" i="5"/>
  <c r="K70" i="5"/>
  <c r="N70" i="5"/>
  <c r="R70" i="5"/>
  <c r="C71" i="5"/>
  <c r="E71" i="5"/>
  <c r="G71" i="5"/>
  <c r="I71" i="5" a="1"/>
  <c r="I71" i="5"/>
  <c r="K71" i="5"/>
  <c r="N71" i="5"/>
  <c r="R71" i="5"/>
  <c r="C72" i="5"/>
  <c r="E72" i="5"/>
  <c r="G72" i="5"/>
  <c r="I72" i="5" a="1"/>
  <c r="I72" i="5"/>
  <c r="K72" i="5"/>
  <c r="N72" i="5"/>
  <c r="R72" i="5"/>
  <c r="C73" i="5"/>
  <c r="E73" i="5"/>
  <c r="G73" i="5"/>
  <c r="I73" i="5" a="1"/>
  <c r="I73" i="5"/>
  <c r="K73" i="5"/>
  <c r="N73" i="5"/>
  <c r="R73" i="5"/>
  <c r="C74" i="5"/>
  <c r="E74" i="5"/>
  <c r="G74" i="5"/>
  <c r="I74" i="5" a="1"/>
  <c r="I74" i="5"/>
  <c r="K74" i="5"/>
  <c r="N74" i="5"/>
  <c r="R74" i="5"/>
  <c r="C75" i="5"/>
  <c r="E75" i="5"/>
  <c r="G75" i="5"/>
  <c r="I75" i="5" a="1"/>
  <c r="I75" i="5"/>
  <c r="K75" i="5"/>
  <c r="N75" i="5"/>
  <c r="R75" i="5"/>
  <c r="C76" i="5"/>
  <c r="E76" i="5"/>
  <c r="G76" i="5"/>
  <c r="I76" i="5" a="1"/>
  <c r="I76" i="5"/>
  <c r="K76" i="5"/>
  <c r="N76" i="5"/>
  <c r="R76" i="5"/>
  <c r="C77" i="5"/>
  <c r="E77" i="5"/>
  <c r="G77" i="5"/>
  <c r="I77" i="5" a="1"/>
  <c r="I77" i="5"/>
  <c r="K77" i="5"/>
  <c r="N77" i="5"/>
  <c r="R77" i="5"/>
  <c r="C78" i="5"/>
  <c r="E78" i="5"/>
  <c r="G78" i="5"/>
  <c r="I78" i="5" a="1"/>
  <c r="I78" i="5"/>
  <c r="K78" i="5"/>
  <c r="N78" i="5"/>
  <c r="R78" i="5"/>
  <c r="C79" i="5"/>
  <c r="E79" i="5"/>
  <c r="G79" i="5"/>
  <c r="I79" i="5" a="1"/>
  <c r="I79" i="5"/>
  <c r="K79" i="5"/>
  <c r="N79" i="5"/>
  <c r="R79" i="5"/>
  <c r="C80" i="5"/>
  <c r="E80" i="5"/>
  <c r="G80" i="5"/>
  <c r="I80" i="5" a="1"/>
  <c r="I80" i="5"/>
  <c r="K80" i="5"/>
  <c r="N80" i="5"/>
  <c r="R80" i="5"/>
  <c r="C81" i="5"/>
  <c r="E81" i="5"/>
  <c r="G81" i="5"/>
  <c r="I81" i="5" a="1"/>
  <c r="I81" i="5"/>
  <c r="K81" i="5"/>
  <c r="N81" i="5"/>
  <c r="R81" i="5"/>
  <c r="C82" i="5"/>
  <c r="E82" i="5"/>
  <c r="G82" i="5"/>
  <c r="I82" i="5" a="1"/>
  <c r="I82" i="5"/>
  <c r="K82" i="5"/>
  <c r="N82" i="5"/>
  <c r="R82" i="5"/>
  <c r="C83" i="5"/>
  <c r="E83" i="5"/>
  <c r="G83" i="5"/>
  <c r="I83" i="5" a="1"/>
  <c r="I83" i="5"/>
  <c r="K83" i="5"/>
  <c r="N83" i="5"/>
  <c r="R83" i="5"/>
  <c r="C84" i="5"/>
  <c r="E84" i="5"/>
  <c r="G84" i="5"/>
  <c r="I84" i="5" a="1"/>
  <c r="I84" i="5"/>
  <c r="K84" i="5"/>
  <c r="N84" i="5"/>
  <c r="R84" i="5"/>
  <c r="C85" i="5"/>
  <c r="E85" i="5"/>
  <c r="G85" i="5"/>
  <c r="I85" i="5" a="1"/>
  <c r="I85" i="5"/>
  <c r="K85" i="5"/>
  <c r="N85" i="5"/>
  <c r="R85" i="5"/>
  <c r="C86" i="5"/>
  <c r="E86" i="5"/>
  <c r="G86" i="5"/>
  <c r="I86" i="5" a="1"/>
  <c r="I86" i="5"/>
  <c r="K86" i="5"/>
  <c r="N86" i="5"/>
  <c r="R86" i="5"/>
  <c r="C87" i="5"/>
  <c r="E87" i="5"/>
  <c r="G87" i="5"/>
  <c r="I87" i="5" a="1"/>
  <c r="I87" i="5"/>
  <c r="K87" i="5"/>
  <c r="N87" i="5"/>
  <c r="R87" i="5"/>
  <c r="C88" i="5"/>
  <c r="E88" i="5"/>
  <c r="G88" i="5"/>
  <c r="I88" i="5" a="1"/>
  <c r="I88" i="5"/>
  <c r="K88" i="5"/>
  <c r="N88" i="5"/>
  <c r="R88" i="5"/>
  <c r="C89" i="5"/>
  <c r="E89" i="5"/>
  <c r="G89" i="5"/>
  <c r="I89" i="5" a="1"/>
  <c r="I89" i="5"/>
  <c r="K89" i="5"/>
  <c r="N89" i="5"/>
  <c r="R89" i="5"/>
  <c r="C90" i="5"/>
  <c r="E90" i="5"/>
  <c r="G90" i="5"/>
  <c r="I90" i="5" a="1"/>
  <c r="I90" i="5"/>
  <c r="K90" i="5"/>
  <c r="N90" i="5"/>
  <c r="R90" i="5"/>
  <c r="C91" i="5"/>
  <c r="E91" i="5"/>
  <c r="G91" i="5"/>
  <c r="I91" i="5" a="1"/>
  <c r="I91" i="5"/>
  <c r="K91" i="5"/>
  <c r="N91" i="5"/>
  <c r="R91" i="5"/>
  <c r="C92" i="5"/>
  <c r="E92" i="5"/>
  <c r="G92" i="5"/>
  <c r="I92" i="5" a="1"/>
  <c r="I92" i="5"/>
  <c r="K92" i="5"/>
  <c r="N92" i="5"/>
  <c r="R92" i="5"/>
  <c r="C93" i="5"/>
  <c r="E93" i="5"/>
  <c r="G93" i="5"/>
  <c r="I93" i="5" a="1"/>
  <c r="I93" i="5"/>
  <c r="K93" i="5"/>
  <c r="N93" i="5"/>
  <c r="R93" i="5"/>
  <c r="C94" i="5"/>
  <c r="E94" i="5"/>
  <c r="G94" i="5"/>
  <c r="I94" i="5" a="1"/>
  <c r="I94" i="5"/>
  <c r="K94" i="5"/>
  <c r="N94" i="5"/>
  <c r="R94" i="5"/>
  <c r="C95" i="5"/>
  <c r="E95" i="5"/>
  <c r="G95" i="5"/>
  <c r="I95" i="5" a="1"/>
  <c r="I95" i="5"/>
  <c r="K95" i="5"/>
  <c r="N95" i="5"/>
  <c r="R95" i="5"/>
  <c r="C96" i="5"/>
  <c r="E96" i="5"/>
  <c r="G96" i="5"/>
  <c r="I96" i="5" a="1"/>
  <c r="I96" i="5"/>
  <c r="K96" i="5"/>
  <c r="N96" i="5"/>
  <c r="R96" i="5"/>
  <c r="C97" i="5"/>
  <c r="E97" i="5"/>
  <c r="G97" i="5"/>
  <c r="I97" i="5" a="1"/>
  <c r="I97" i="5"/>
  <c r="K97" i="5"/>
  <c r="N97" i="5"/>
  <c r="R97" i="5"/>
  <c r="C98" i="5"/>
  <c r="E98" i="5"/>
  <c r="G98" i="5"/>
  <c r="I98" i="5" a="1"/>
  <c r="I98" i="5"/>
  <c r="K98" i="5"/>
  <c r="N98" i="5"/>
  <c r="R98" i="5"/>
  <c r="C99" i="5"/>
  <c r="E99" i="5"/>
  <c r="G99" i="5"/>
  <c r="I99" i="5" a="1"/>
  <c r="I99" i="5"/>
  <c r="K99" i="5"/>
  <c r="N99" i="5"/>
  <c r="R99" i="5"/>
  <c r="C100" i="5"/>
  <c r="E100" i="5"/>
  <c r="G100" i="5"/>
  <c r="I100" i="5" a="1"/>
  <c r="I100" i="5"/>
  <c r="K100" i="5"/>
  <c r="N100" i="5"/>
  <c r="R100" i="5"/>
  <c r="C101" i="5"/>
  <c r="E101" i="5"/>
  <c r="G101" i="5"/>
  <c r="I101" i="5" a="1"/>
  <c r="I101" i="5"/>
  <c r="K101" i="5"/>
  <c r="N101" i="5"/>
  <c r="R101" i="5"/>
  <c r="C102" i="5"/>
  <c r="E102" i="5"/>
  <c r="G102" i="5"/>
  <c r="I102" i="5" a="1"/>
  <c r="I102" i="5"/>
  <c r="K102" i="5"/>
  <c r="N102" i="5"/>
  <c r="R102" i="5"/>
  <c r="C103" i="5"/>
  <c r="E103" i="5"/>
  <c r="G103" i="5"/>
  <c r="I103" i="5" a="1"/>
  <c r="I103" i="5"/>
  <c r="K103" i="5"/>
  <c r="N103" i="5"/>
  <c r="R103" i="5"/>
  <c r="C104" i="5"/>
  <c r="E104" i="5"/>
  <c r="G104" i="5"/>
  <c r="I104" i="5" a="1"/>
  <c r="I104" i="5"/>
  <c r="K104" i="5"/>
  <c r="N104" i="5"/>
  <c r="R104" i="5"/>
  <c r="C105" i="5"/>
  <c r="E105" i="5"/>
  <c r="G105" i="5"/>
  <c r="I105" i="5" a="1"/>
  <c r="I105" i="5"/>
  <c r="K105" i="5"/>
  <c r="N105" i="5"/>
  <c r="R105" i="5"/>
  <c r="C106" i="5"/>
  <c r="E106" i="5"/>
  <c r="G106" i="5"/>
  <c r="I106" i="5" a="1"/>
  <c r="I106" i="5"/>
  <c r="K106" i="5"/>
  <c r="N106" i="5"/>
  <c r="R106" i="5"/>
  <c r="C107" i="5"/>
  <c r="E107" i="5"/>
  <c r="G107" i="5"/>
  <c r="I107" i="5" a="1"/>
  <c r="I107" i="5"/>
  <c r="K107" i="5"/>
  <c r="N107" i="5"/>
  <c r="R107" i="5"/>
  <c r="C108" i="5"/>
  <c r="E108" i="5"/>
  <c r="G108" i="5"/>
  <c r="I108" i="5" a="1"/>
  <c r="I108" i="5"/>
  <c r="K108" i="5"/>
  <c r="N108" i="5"/>
  <c r="R108" i="5"/>
  <c r="C109" i="5"/>
  <c r="E109" i="5"/>
  <c r="G109" i="5"/>
  <c r="I109" i="5" a="1"/>
  <c r="I109" i="5"/>
  <c r="K109" i="5"/>
  <c r="N109" i="5"/>
  <c r="R109" i="5"/>
  <c r="C110" i="5"/>
  <c r="E110" i="5"/>
  <c r="G110" i="5"/>
  <c r="I110" i="5" a="1"/>
  <c r="I110" i="5"/>
  <c r="K110" i="5"/>
  <c r="N110" i="5"/>
  <c r="R110" i="5"/>
  <c r="C111" i="5"/>
  <c r="E111" i="5"/>
  <c r="G111" i="5"/>
  <c r="I111" i="5" a="1"/>
  <c r="I111" i="5"/>
  <c r="K111" i="5"/>
  <c r="N111" i="5"/>
  <c r="R111" i="5"/>
  <c r="C112" i="5"/>
  <c r="E112" i="5"/>
  <c r="G112" i="5"/>
  <c r="I112" i="5" a="1"/>
  <c r="I112" i="5"/>
  <c r="K112" i="5"/>
  <c r="N112" i="5"/>
  <c r="R112" i="5"/>
  <c r="C113" i="5"/>
  <c r="E113" i="5"/>
  <c r="G113" i="5"/>
  <c r="I113" i="5" a="1"/>
  <c r="I113" i="5"/>
  <c r="K113" i="5"/>
  <c r="N113" i="5"/>
  <c r="R113" i="5"/>
  <c r="C114" i="5"/>
  <c r="E114" i="5"/>
  <c r="G114" i="5"/>
  <c r="I114" i="5" a="1"/>
  <c r="I114" i="5"/>
  <c r="K114" i="5"/>
  <c r="N114" i="5"/>
  <c r="R114" i="5"/>
  <c r="C115" i="5"/>
  <c r="E115" i="5"/>
  <c r="G115" i="5"/>
  <c r="I115" i="5" a="1"/>
  <c r="I115" i="5"/>
  <c r="K115" i="5"/>
  <c r="N115" i="5"/>
  <c r="R115" i="5"/>
  <c r="C116" i="5"/>
  <c r="E116" i="5"/>
  <c r="G116" i="5"/>
  <c r="I116" i="5" a="1"/>
  <c r="I116" i="5"/>
  <c r="K116" i="5"/>
  <c r="N116" i="5"/>
  <c r="R116" i="5"/>
  <c r="C117" i="5"/>
  <c r="E117" i="5"/>
  <c r="G117" i="5"/>
  <c r="I117" i="5" a="1"/>
  <c r="I117" i="5"/>
  <c r="K117" i="5"/>
  <c r="N117" i="5"/>
  <c r="R117" i="5"/>
  <c r="C118" i="5"/>
  <c r="E118" i="5"/>
  <c r="G118" i="5"/>
  <c r="I118" i="5" a="1"/>
  <c r="I118" i="5"/>
  <c r="K118" i="5"/>
  <c r="N118" i="5"/>
  <c r="R118" i="5"/>
  <c r="C119" i="5"/>
  <c r="E119" i="5"/>
  <c r="G119" i="5"/>
  <c r="I119" i="5" a="1"/>
  <c r="I119" i="5"/>
  <c r="K119" i="5"/>
  <c r="N119" i="5"/>
  <c r="R119" i="5"/>
  <c r="C120" i="5"/>
  <c r="E120" i="5"/>
  <c r="G120" i="5"/>
  <c r="I120" i="5" a="1"/>
  <c r="I120" i="5"/>
  <c r="K120" i="5"/>
  <c r="N120" i="5"/>
  <c r="R120" i="5"/>
  <c r="C121" i="5"/>
  <c r="E121" i="5"/>
  <c r="G121" i="5"/>
  <c r="I121" i="5" a="1"/>
  <c r="I121" i="5"/>
  <c r="K121" i="5"/>
  <c r="N121" i="5"/>
  <c r="R121" i="5"/>
  <c r="C122" i="5"/>
  <c r="E122" i="5"/>
  <c r="G122" i="5"/>
  <c r="I122" i="5" a="1"/>
  <c r="I122" i="5"/>
  <c r="K122" i="5"/>
  <c r="N122" i="5"/>
  <c r="R122" i="5"/>
  <c r="C123" i="5"/>
  <c r="E123" i="5"/>
  <c r="G123" i="5"/>
  <c r="I123" i="5" a="1"/>
  <c r="I123" i="5"/>
  <c r="K123" i="5"/>
  <c r="N123" i="5"/>
  <c r="R123" i="5"/>
  <c r="C124" i="5"/>
  <c r="E124" i="5"/>
  <c r="G124" i="5"/>
  <c r="I124" i="5" a="1"/>
  <c r="I124" i="5"/>
  <c r="K124" i="5"/>
  <c r="N124" i="5"/>
  <c r="R124" i="5"/>
  <c r="C125" i="5"/>
  <c r="E125" i="5"/>
  <c r="G125" i="5"/>
  <c r="I125" i="5" a="1"/>
  <c r="I125" i="5"/>
  <c r="K125" i="5"/>
  <c r="N125" i="5"/>
  <c r="R125" i="5"/>
  <c r="C126" i="5"/>
  <c r="E126" i="5"/>
  <c r="G126" i="5"/>
  <c r="I126" i="5" a="1"/>
  <c r="I126" i="5"/>
  <c r="K126" i="5"/>
  <c r="N126" i="5"/>
  <c r="R126" i="5"/>
  <c r="C127" i="5"/>
  <c r="E127" i="5"/>
  <c r="G127" i="5"/>
  <c r="I127" i="5" a="1"/>
  <c r="I127" i="5"/>
  <c r="K127" i="5"/>
  <c r="N127" i="5"/>
  <c r="R127" i="5"/>
  <c r="C128" i="5"/>
  <c r="E128" i="5"/>
  <c r="G128" i="5"/>
  <c r="I128" i="5" a="1"/>
  <c r="I128" i="5"/>
  <c r="K128" i="5"/>
  <c r="N128" i="5"/>
  <c r="R128" i="5"/>
  <c r="C129" i="5"/>
  <c r="E129" i="5"/>
  <c r="G129" i="5"/>
  <c r="I129" i="5" a="1"/>
  <c r="I129" i="5"/>
  <c r="K129" i="5"/>
  <c r="N129" i="5"/>
  <c r="R129" i="5"/>
  <c r="C130" i="5"/>
  <c r="E130" i="5"/>
  <c r="G130" i="5"/>
  <c r="I130" i="5" a="1"/>
  <c r="I130" i="5"/>
  <c r="K130" i="5"/>
  <c r="N130" i="5"/>
  <c r="R130" i="5"/>
  <c r="C131" i="5"/>
  <c r="E131" i="5"/>
  <c r="G131" i="5"/>
  <c r="I131" i="5" a="1"/>
  <c r="I131" i="5"/>
  <c r="K131" i="5"/>
  <c r="N131" i="5"/>
  <c r="R131" i="5"/>
  <c r="C132" i="5"/>
  <c r="E132" i="5"/>
  <c r="G132" i="5"/>
  <c r="I132" i="5" a="1"/>
  <c r="I132" i="5"/>
  <c r="K132" i="5"/>
  <c r="N132" i="5"/>
  <c r="R132" i="5"/>
  <c r="C133" i="5"/>
  <c r="E133" i="5"/>
  <c r="G133" i="5"/>
  <c r="I133" i="5" a="1"/>
  <c r="I133" i="5"/>
  <c r="K133" i="5"/>
  <c r="N133" i="5"/>
  <c r="R133" i="5"/>
  <c r="C134" i="5"/>
  <c r="E134" i="5"/>
  <c r="G134" i="5"/>
  <c r="I134" i="5" a="1"/>
  <c r="I134" i="5"/>
  <c r="K134" i="5"/>
  <c r="N134" i="5"/>
  <c r="R134" i="5"/>
  <c r="C135" i="5"/>
  <c r="E135" i="5"/>
  <c r="G135" i="5"/>
  <c r="I135" i="5" a="1"/>
  <c r="I135" i="5"/>
  <c r="K135" i="5"/>
  <c r="N135" i="5"/>
  <c r="R135" i="5"/>
  <c r="C136" i="5"/>
  <c r="E136" i="5"/>
  <c r="G136" i="5"/>
  <c r="I136" i="5" a="1"/>
  <c r="I136" i="5"/>
  <c r="K136" i="5"/>
  <c r="N136" i="5"/>
  <c r="R136" i="5"/>
  <c r="C137" i="5"/>
  <c r="E137" i="5"/>
  <c r="G137" i="5"/>
  <c r="I137" i="5" a="1"/>
  <c r="I137" i="5"/>
  <c r="K137" i="5"/>
  <c r="N137" i="5"/>
  <c r="R137" i="5"/>
  <c r="C138" i="5"/>
  <c r="E138" i="5"/>
  <c r="G138" i="5"/>
  <c r="I138" i="5" a="1"/>
  <c r="I138" i="5"/>
  <c r="K138" i="5"/>
  <c r="N138" i="5"/>
  <c r="R138" i="5"/>
  <c r="C139" i="5"/>
  <c r="E139" i="5"/>
  <c r="G139" i="5"/>
  <c r="I139" i="5" a="1"/>
  <c r="I139" i="5"/>
  <c r="K139" i="5"/>
  <c r="N139" i="5"/>
  <c r="R139" i="5"/>
  <c r="C140" i="5"/>
  <c r="E140" i="5"/>
  <c r="G140" i="5"/>
  <c r="I140" i="5" a="1"/>
  <c r="I140" i="5"/>
  <c r="K140" i="5"/>
  <c r="N140" i="5"/>
  <c r="R140" i="5"/>
  <c r="C141" i="5"/>
  <c r="E141" i="5"/>
  <c r="G141" i="5"/>
  <c r="I141" i="5" a="1"/>
  <c r="I141" i="5"/>
  <c r="K141" i="5"/>
  <c r="N141" i="5"/>
  <c r="R141" i="5"/>
  <c r="C142" i="5"/>
  <c r="E142" i="5"/>
  <c r="G142" i="5"/>
  <c r="I142" i="5" a="1"/>
  <c r="I142" i="5"/>
  <c r="K142" i="5"/>
  <c r="N142" i="5"/>
  <c r="R142" i="5"/>
  <c r="C143" i="5"/>
  <c r="E143" i="5"/>
  <c r="G143" i="5"/>
  <c r="I143" i="5" a="1"/>
  <c r="I143" i="5"/>
  <c r="K143" i="5"/>
  <c r="N143" i="5"/>
  <c r="R143" i="5"/>
  <c r="C144" i="5"/>
  <c r="E144" i="5"/>
  <c r="G144" i="5"/>
  <c r="I144" i="5" a="1"/>
  <c r="I144" i="5"/>
  <c r="K144" i="5"/>
  <c r="N144" i="5"/>
  <c r="R144" i="5"/>
  <c r="C145" i="5"/>
  <c r="E145" i="5"/>
  <c r="G145" i="5"/>
  <c r="I145" i="5" a="1"/>
  <c r="I145" i="5"/>
  <c r="K145" i="5"/>
  <c r="N145" i="5"/>
  <c r="R145" i="5"/>
  <c r="C146" i="5"/>
  <c r="E146" i="5"/>
  <c r="G146" i="5"/>
  <c r="I146" i="5" a="1"/>
  <c r="I146" i="5"/>
  <c r="K146" i="5"/>
  <c r="N146" i="5"/>
  <c r="R146" i="5"/>
  <c r="C147" i="5"/>
  <c r="E147" i="5"/>
  <c r="G147" i="5"/>
  <c r="I147" i="5" a="1"/>
  <c r="I147" i="5"/>
  <c r="K147" i="5"/>
  <c r="N147" i="5"/>
  <c r="R147" i="5"/>
  <c r="C148" i="5"/>
  <c r="E148" i="5"/>
  <c r="G148" i="5"/>
  <c r="I148" i="5" a="1"/>
  <c r="I148" i="5"/>
  <c r="K148" i="5"/>
  <c r="N148" i="5"/>
  <c r="R148" i="5"/>
  <c r="C149" i="5"/>
  <c r="E149" i="5"/>
  <c r="G149" i="5"/>
  <c r="I149" i="5" a="1"/>
  <c r="I149" i="5"/>
  <c r="K149" i="5"/>
  <c r="N149" i="5"/>
  <c r="R149" i="5"/>
  <c r="C150" i="5"/>
  <c r="E150" i="5"/>
  <c r="G150" i="5"/>
  <c r="I150" i="5" a="1"/>
  <c r="I150" i="5"/>
  <c r="K150" i="5"/>
  <c r="N150" i="5"/>
  <c r="R150" i="5"/>
  <c r="C151" i="5"/>
  <c r="E151" i="5"/>
  <c r="G151" i="5"/>
  <c r="I151" i="5" a="1"/>
  <c r="I151" i="5"/>
  <c r="K151" i="5"/>
  <c r="N151" i="5"/>
  <c r="R151" i="5"/>
  <c r="C152" i="5"/>
  <c r="E152" i="5"/>
  <c r="G152" i="5"/>
  <c r="I152" i="5" a="1"/>
  <c r="I152" i="5"/>
  <c r="K152" i="5"/>
  <c r="N152" i="5"/>
  <c r="R152" i="5"/>
  <c r="C153" i="5"/>
  <c r="E153" i="5"/>
  <c r="G153" i="5"/>
  <c r="I153" i="5" a="1"/>
  <c r="I153" i="5"/>
  <c r="K153" i="5"/>
  <c r="N153" i="5"/>
  <c r="R153" i="5"/>
  <c r="C154" i="5"/>
  <c r="E154" i="5"/>
  <c r="G154" i="5"/>
  <c r="I154" i="5" a="1"/>
  <c r="I154" i="5"/>
  <c r="K154" i="5"/>
  <c r="N154" i="5"/>
  <c r="R154" i="5"/>
  <c r="C155" i="5"/>
  <c r="E155" i="5"/>
  <c r="G155" i="5"/>
  <c r="I155" i="5" a="1"/>
  <c r="I155" i="5"/>
  <c r="K155" i="5"/>
  <c r="N155" i="5"/>
  <c r="R155" i="5"/>
  <c r="C156" i="5"/>
  <c r="E156" i="5"/>
  <c r="G156" i="5"/>
  <c r="I156" i="5" a="1"/>
  <c r="I156" i="5"/>
  <c r="K156" i="5"/>
  <c r="N156" i="5"/>
  <c r="R156" i="5"/>
  <c r="C157" i="5"/>
  <c r="E157" i="5"/>
  <c r="G157" i="5"/>
  <c r="I157" i="5" a="1"/>
  <c r="I157" i="5"/>
  <c r="K157" i="5"/>
  <c r="N157" i="5"/>
  <c r="R157" i="5"/>
  <c r="C158" i="5"/>
  <c r="E158" i="5"/>
  <c r="G158" i="5"/>
  <c r="I158" i="5" a="1"/>
  <c r="I158" i="5"/>
  <c r="K158" i="5"/>
  <c r="N158" i="5"/>
  <c r="R158" i="5"/>
  <c r="C159" i="5"/>
  <c r="E159" i="5"/>
  <c r="G159" i="5"/>
  <c r="I159" i="5" a="1"/>
  <c r="I159" i="5"/>
  <c r="K159" i="5"/>
  <c r="N159" i="5"/>
  <c r="R159" i="5"/>
  <c r="C160" i="5"/>
  <c r="E160" i="5"/>
  <c r="G160" i="5"/>
  <c r="I160" i="5" a="1"/>
  <c r="I160" i="5"/>
  <c r="K160" i="5"/>
  <c r="N160" i="5"/>
  <c r="R160" i="5"/>
  <c r="C161" i="5"/>
  <c r="E161" i="5"/>
  <c r="G161" i="5"/>
  <c r="I161" i="5" a="1"/>
  <c r="I161" i="5"/>
  <c r="K161" i="5"/>
  <c r="N161" i="5"/>
  <c r="R161" i="5"/>
  <c r="C162" i="5"/>
  <c r="E162" i="5"/>
  <c r="G162" i="5"/>
  <c r="I162" i="5" a="1"/>
  <c r="I162" i="5"/>
  <c r="K162" i="5"/>
  <c r="N162" i="5"/>
  <c r="R162" i="5"/>
  <c r="C163" i="5"/>
  <c r="E163" i="5"/>
  <c r="G163" i="5"/>
  <c r="I163" i="5" a="1"/>
  <c r="I163" i="5"/>
  <c r="K163" i="5"/>
  <c r="N163" i="5"/>
  <c r="R163" i="5"/>
  <c r="C164" i="5"/>
  <c r="E164" i="5"/>
  <c r="G164" i="5"/>
  <c r="I164" i="5" a="1"/>
  <c r="I164" i="5"/>
  <c r="K164" i="5"/>
  <c r="N164" i="5"/>
  <c r="R164" i="5"/>
  <c r="C165" i="5"/>
  <c r="E165" i="5"/>
  <c r="G165" i="5"/>
  <c r="I165" i="5" a="1"/>
  <c r="I165" i="5"/>
  <c r="K165" i="5"/>
  <c r="N165" i="5"/>
  <c r="R165" i="5"/>
  <c r="C166" i="5"/>
  <c r="E166" i="5"/>
  <c r="G166" i="5"/>
  <c r="I166" i="5" a="1"/>
  <c r="I166" i="5"/>
  <c r="K166" i="5"/>
  <c r="N166" i="5"/>
  <c r="R166" i="5"/>
  <c r="C167" i="5"/>
  <c r="E167" i="5"/>
  <c r="G167" i="5"/>
  <c r="I167" i="5" a="1"/>
  <c r="I167" i="5"/>
  <c r="K167" i="5"/>
  <c r="N167" i="5"/>
  <c r="R167" i="5"/>
  <c r="C168" i="5"/>
  <c r="E168" i="5"/>
  <c r="G168" i="5"/>
  <c r="I168" i="5" a="1"/>
  <c r="I168" i="5"/>
  <c r="K168" i="5"/>
  <c r="N168" i="5"/>
  <c r="R168" i="5"/>
  <c r="C169" i="5"/>
  <c r="E169" i="5"/>
  <c r="G169" i="5"/>
  <c r="I169" i="5" a="1"/>
  <c r="I169" i="5"/>
  <c r="K169" i="5"/>
  <c r="N169" i="5"/>
  <c r="R169" i="5"/>
  <c r="C170" i="5"/>
  <c r="E170" i="5"/>
  <c r="G170" i="5"/>
  <c r="I170" i="5" a="1"/>
  <c r="I170" i="5"/>
  <c r="K170" i="5"/>
  <c r="N170" i="5"/>
  <c r="R170" i="5"/>
  <c r="C171" i="5"/>
  <c r="E171" i="5"/>
  <c r="G171" i="5"/>
  <c r="I171" i="5" a="1"/>
  <c r="I171" i="5"/>
  <c r="K171" i="5"/>
  <c r="N171" i="5"/>
  <c r="R171" i="5"/>
  <c r="C172" i="5"/>
  <c r="E172" i="5"/>
  <c r="G172" i="5"/>
  <c r="I172" i="5" a="1"/>
  <c r="I172" i="5"/>
  <c r="K172" i="5"/>
  <c r="N172" i="5"/>
  <c r="R172" i="5"/>
  <c r="C173" i="5"/>
  <c r="E173" i="5"/>
  <c r="G173" i="5"/>
  <c r="I173" i="5" a="1"/>
  <c r="I173" i="5"/>
  <c r="K173" i="5"/>
  <c r="N173" i="5"/>
  <c r="R173" i="5"/>
  <c r="C174" i="5"/>
  <c r="E174" i="5"/>
  <c r="G174" i="5"/>
  <c r="I174" i="5" a="1"/>
  <c r="I174" i="5"/>
  <c r="K174" i="5"/>
  <c r="N174" i="5"/>
  <c r="R174" i="5"/>
  <c r="C175" i="5"/>
  <c r="E175" i="5"/>
  <c r="G175" i="5"/>
  <c r="I175" i="5" a="1"/>
  <c r="I175" i="5"/>
  <c r="K175" i="5"/>
  <c r="N175" i="5"/>
  <c r="R175" i="5"/>
  <c r="C176" i="5"/>
  <c r="E176" i="5"/>
  <c r="G176" i="5"/>
  <c r="I176" i="5" a="1"/>
  <c r="I176" i="5"/>
  <c r="K176" i="5"/>
  <c r="N176" i="5"/>
  <c r="R176" i="5"/>
  <c r="C177" i="5"/>
  <c r="E177" i="5"/>
  <c r="G177" i="5"/>
  <c r="I177" i="5" a="1"/>
  <c r="I177" i="5"/>
  <c r="K177" i="5"/>
  <c r="N177" i="5"/>
  <c r="R177" i="5"/>
  <c r="C178" i="5"/>
  <c r="E178" i="5"/>
  <c r="G178" i="5"/>
  <c r="I178" i="5" a="1"/>
  <c r="I178" i="5"/>
  <c r="K178" i="5"/>
  <c r="N178" i="5"/>
  <c r="R178" i="5"/>
  <c r="C179" i="5"/>
  <c r="E179" i="5"/>
  <c r="G179" i="5"/>
  <c r="I179" i="5" a="1"/>
  <c r="I179" i="5"/>
  <c r="K179" i="5"/>
  <c r="N179" i="5"/>
  <c r="R179" i="5"/>
  <c r="C180" i="5"/>
  <c r="E180" i="5"/>
  <c r="G180" i="5"/>
  <c r="I180" i="5" a="1"/>
  <c r="I180" i="5"/>
  <c r="K180" i="5"/>
  <c r="N180" i="5"/>
  <c r="R180" i="5"/>
  <c r="C181" i="5"/>
  <c r="E181" i="5"/>
  <c r="G181" i="5"/>
  <c r="I181" i="5" a="1"/>
  <c r="I181" i="5"/>
  <c r="K181" i="5"/>
  <c r="N181" i="5"/>
  <c r="R181" i="5"/>
  <c r="C182" i="5"/>
  <c r="E182" i="5"/>
  <c r="G182" i="5"/>
  <c r="I182" i="5" a="1"/>
  <c r="I182" i="5"/>
  <c r="K182" i="5"/>
  <c r="N182" i="5"/>
  <c r="R182" i="5"/>
  <c r="C183" i="5"/>
  <c r="E183" i="5"/>
  <c r="G183" i="5"/>
  <c r="I183" i="5" a="1"/>
  <c r="I183" i="5"/>
  <c r="K183" i="5"/>
  <c r="N183" i="5"/>
  <c r="R183" i="5"/>
  <c r="C184" i="5"/>
  <c r="E184" i="5"/>
  <c r="G184" i="5"/>
  <c r="I184" i="5" a="1"/>
  <c r="I184" i="5"/>
  <c r="K184" i="5"/>
  <c r="N184" i="5"/>
  <c r="R184" i="5"/>
  <c r="C185" i="5"/>
  <c r="E185" i="5"/>
  <c r="G185" i="5"/>
  <c r="I185" i="5" a="1"/>
  <c r="I185" i="5"/>
  <c r="K185" i="5"/>
  <c r="N185" i="5"/>
  <c r="R185" i="5"/>
  <c r="C186" i="5"/>
  <c r="E186" i="5"/>
  <c r="G186" i="5"/>
  <c r="I186" i="5" a="1"/>
  <c r="I186" i="5"/>
  <c r="K186" i="5"/>
  <c r="N186" i="5"/>
  <c r="R186" i="5"/>
  <c r="C187" i="5"/>
  <c r="E187" i="5"/>
  <c r="G187" i="5"/>
  <c r="I187" i="5" a="1"/>
  <c r="I187" i="5"/>
  <c r="K187" i="5"/>
  <c r="N187" i="5"/>
  <c r="R187" i="5"/>
  <c r="C188" i="5"/>
  <c r="E188" i="5"/>
  <c r="G188" i="5"/>
  <c r="I188" i="5" a="1"/>
  <c r="I188" i="5"/>
  <c r="K188" i="5"/>
  <c r="N188" i="5"/>
  <c r="R188" i="5"/>
  <c r="C189" i="5"/>
  <c r="E189" i="5"/>
  <c r="G189" i="5"/>
  <c r="I189" i="5" a="1"/>
  <c r="I189" i="5"/>
  <c r="K189" i="5"/>
  <c r="N189" i="5"/>
  <c r="R189" i="5"/>
  <c r="C190" i="5"/>
  <c r="E190" i="5"/>
  <c r="G190" i="5"/>
  <c r="I190" i="5" a="1"/>
  <c r="I190" i="5"/>
  <c r="K190" i="5"/>
  <c r="N190" i="5"/>
  <c r="R190" i="5"/>
  <c r="C191" i="5"/>
  <c r="E191" i="5"/>
  <c r="G191" i="5"/>
  <c r="I191" i="5" a="1"/>
  <c r="I191" i="5"/>
  <c r="K191" i="5"/>
  <c r="N191" i="5"/>
  <c r="R191" i="5"/>
  <c r="C192" i="5"/>
  <c r="E192" i="5"/>
  <c r="G192" i="5"/>
  <c r="I192" i="5" a="1"/>
  <c r="I192" i="5"/>
  <c r="K192" i="5"/>
  <c r="N192" i="5"/>
  <c r="R192" i="5"/>
  <c r="C193" i="5"/>
  <c r="E193" i="5"/>
  <c r="G193" i="5"/>
  <c r="I193" i="5" a="1"/>
  <c r="I193" i="5"/>
  <c r="K193" i="5"/>
  <c r="N193" i="5"/>
  <c r="R193" i="5"/>
  <c r="C194" i="5"/>
  <c r="E194" i="5"/>
  <c r="G194" i="5"/>
  <c r="I194" i="5" a="1"/>
  <c r="I194" i="5"/>
  <c r="K194" i="5"/>
  <c r="N194" i="5"/>
  <c r="R194" i="5"/>
  <c r="C195" i="5"/>
  <c r="E195" i="5"/>
  <c r="G195" i="5"/>
  <c r="I195" i="5" a="1"/>
  <c r="I195" i="5"/>
  <c r="K195" i="5"/>
  <c r="N195" i="5"/>
  <c r="R195" i="5"/>
  <c r="C196" i="5"/>
  <c r="E196" i="5"/>
  <c r="G196" i="5"/>
  <c r="I196" i="5" a="1"/>
  <c r="I196" i="5"/>
  <c r="K196" i="5"/>
  <c r="N196" i="5"/>
  <c r="R196" i="5"/>
  <c r="C197" i="5"/>
  <c r="E197" i="5"/>
  <c r="G197" i="5"/>
  <c r="I197" i="5" a="1"/>
  <c r="I197" i="5"/>
  <c r="K197" i="5"/>
  <c r="N197" i="5"/>
  <c r="R197" i="5"/>
  <c r="C198" i="5"/>
  <c r="E198" i="5"/>
  <c r="G198" i="5"/>
  <c r="I198" i="5" a="1"/>
  <c r="I198" i="5"/>
  <c r="K198" i="5"/>
  <c r="N198" i="5"/>
  <c r="R198" i="5"/>
  <c r="C199" i="5"/>
  <c r="E199" i="5"/>
  <c r="G199" i="5"/>
  <c r="I199" i="5" a="1"/>
  <c r="I199" i="5"/>
  <c r="K199" i="5"/>
  <c r="N199" i="5"/>
  <c r="R199" i="5"/>
  <c r="C200" i="5"/>
  <c r="E200" i="5"/>
  <c r="G200" i="5"/>
  <c r="I200" i="5" a="1"/>
  <c r="I200" i="5"/>
  <c r="K200" i="5"/>
  <c r="N200" i="5"/>
  <c r="R200" i="5"/>
  <c r="C201" i="5"/>
  <c r="E201" i="5"/>
  <c r="G201" i="5"/>
  <c r="I201" i="5" a="1"/>
  <c r="I201" i="5"/>
  <c r="K201" i="5"/>
  <c r="N201" i="5"/>
  <c r="R201" i="5"/>
  <c r="C202" i="5"/>
  <c r="E202" i="5"/>
  <c r="G202" i="5"/>
  <c r="I202" i="5" a="1"/>
  <c r="I202" i="5"/>
  <c r="K202" i="5"/>
  <c r="N202" i="5"/>
  <c r="R202" i="5"/>
  <c r="C203" i="5"/>
  <c r="E203" i="5"/>
  <c r="G203" i="5"/>
  <c r="I203" i="5" a="1"/>
  <c r="I203" i="5"/>
  <c r="K203" i="5"/>
  <c r="N203" i="5"/>
  <c r="R203" i="5"/>
  <c r="C204" i="5"/>
  <c r="E204" i="5"/>
  <c r="G204" i="5"/>
  <c r="I204" i="5" a="1"/>
  <c r="I204" i="5"/>
  <c r="K204" i="5"/>
  <c r="N204" i="5"/>
  <c r="R204" i="5"/>
  <c r="C205" i="5"/>
  <c r="E205" i="5"/>
  <c r="G205" i="5"/>
  <c r="I205" i="5" a="1"/>
  <c r="I205" i="5"/>
  <c r="K205" i="5"/>
  <c r="N205" i="5"/>
  <c r="R205" i="5"/>
  <c r="C206" i="5"/>
  <c r="E206" i="5"/>
  <c r="G206" i="5"/>
  <c r="I206" i="5" a="1"/>
  <c r="I206" i="5"/>
  <c r="K206" i="5"/>
  <c r="N206" i="5"/>
  <c r="R206" i="5"/>
  <c r="C207" i="5"/>
  <c r="E207" i="5"/>
  <c r="G207" i="5"/>
  <c r="I207" i="5" a="1"/>
  <c r="I207" i="5"/>
  <c r="K207" i="5"/>
  <c r="N207" i="5"/>
  <c r="R207" i="5"/>
  <c r="C208" i="5"/>
  <c r="E208" i="5"/>
  <c r="G208" i="5"/>
  <c r="I208" i="5" a="1"/>
  <c r="I208" i="5"/>
  <c r="K208" i="5"/>
  <c r="N208" i="5"/>
  <c r="R208" i="5"/>
  <c r="C209" i="5"/>
  <c r="E209" i="5"/>
  <c r="G209" i="5"/>
  <c r="I209" i="5" a="1"/>
  <c r="I209" i="5"/>
  <c r="K209" i="5"/>
  <c r="N209" i="5"/>
  <c r="R209" i="5"/>
  <c r="C210" i="5"/>
  <c r="E210" i="5"/>
  <c r="G210" i="5"/>
  <c r="I210" i="5" a="1"/>
  <c r="I210" i="5"/>
  <c r="K210" i="5"/>
  <c r="N210" i="5"/>
  <c r="R210" i="5"/>
  <c r="C211" i="5"/>
  <c r="E211" i="5"/>
  <c r="G211" i="5"/>
  <c r="I211" i="5" a="1"/>
  <c r="I211" i="5"/>
  <c r="K211" i="5"/>
  <c r="N211" i="5"/>
  <c r="R211" i="5"/>
  <c r="C212" i="5"/>
  <c r="E212" i="5"/>
  <c r="G212" i="5"/>
  <c r="I212" i="5" a="1"/>
  <c r="I212" i="5"/>
  <c r="K212" i="5"/>
  <c r="N212" i="5"/>
  <c r="R212" i="5"/>
  <c r="C213" i="5"/>
  <c r="E213" i="5"/>
  <c r="G213" i="5"/>
  <c r="I213" i="5" a="1"/>
  <c r="I213" i="5"/>
  <c r="K213" i="5"/>
  <c r="N213" i="5"/>
  <c r="R213" i="5"/>
  <c r="C214" i="5"/>
  <c r="E214" i="5"/>
  <c r="G214" i="5"/>
  <c r="I214" i="5" a="1"/>
  <c r="I214" i="5"/>
  <c r="K214" i="5"/>
  <c r="N214" i="5"/>
  <c r="R214" i="5"/>
  <c r="C215" i="5"/>
  <c r="E215" i="5"/>
  <c r="G215" i="5"/>
  <c r="I215" i="5" a="1"/>
  <c r="I215" i="5"/>
  <c r="K215" i="5"/>
  <c r="N215" i="5"/>
  <c r="R215" i="5"/>
  <c r="C216" i="5"/>
  <c r="E216" i="5"/>
  <c r="G216" i="5"/>
  <c r="I216" i="5" a="1"/>
  <c r="I216" i="5"/>
  <c r="K216" i="5"/>
  <c r="N216" i="5"/>
  <c r="R216" i="5"/>
  <c r="C217" i="5"/>
  <c r="E217" i="5"/>
  <c r="G217" i="5"/>
  <c r="I217" i="5" a="1"/>
  <c r="I217" i="5"/>
  <c r="K217" i="5"/>
  <c r="N217" i="5"/>
  <c r="R217" i="5"/>
  <c r="C218" i="5"/>
  <c r="E218" i="5"/>
  <c r="G218" i="5"/>
  <c r="I218" i="5" a="1"/>
  <c r="I218" i="5"/>
  <c r="K218" i="5"/>
  <c r="N218" i="5"/>
  <c r="R218" i="5"/>
  <c r="C219" i="5"/>
  <c r="E219" i="5"/>
  <c r="G219" i="5"/>
  <c r="I219" i="5" a="1"/>
  <c r="I219" i="5"/>
  <c r="K219" i="5"/>
  <c r="N219" i="5"/>
  <c r="R219" i="5"/>
  <c r="C220" i="5"/>
  <c r="E220" i="5"/>
  <c r="G220" i="5"/>
  <c r="I220" i="5" a="1"/>
  <c r="I220" i="5"/>
  <c r="K220" i="5"/>
  <c r="N220" i="5"/>
  <c r="R220" i="5"/>
  <c r="C221" i="5"/>
  <c r="E221" i="5"/>
  <c r="G221" i="5"/>
  <c r="I221" i="5" a="1"/>
  <c r="I221" i="5"/>
  <c r="K221" i="5"/>
  <c r="N221" i="5"/>
  <c r="R221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<sst xmlns="http://schemas.openxmlformats.org/spreadsheetml/2006/main" count="4749" uniqueCount="854">
  <si>
    <t>Product ID</t>
  </si>
  <si>
    <t>SKU</t>
  </si>
  <si>
    <t>Product</t>
  </si>
  <si>
    <t>Category</t>
  </si>
  <si>
    <t>Brand</t>
  </si>
  <si>
    <t>Supplier</t>
  </si>
  <si>
    <t>Unit Cost (£)</t>
  </si>
  <si>
    <t>Selling Price (£)</t>
  </si>
  <si>
    <t>Stock Quantity</t>
  </si>
  <si>
    <t>Reorder Level</t>
  </si>
  <si>
    <t>Warehouse Location</t>
  </si>
  <si>
    <t>Last Restocked</t>
  </si>
  <si>
    <t>Stock Value</t>
  </si>
  <si>
    <t>Reorder Flag</t>
  </si>
  <si>
    <t>PRD00001</t>
  </si>
  <si>
    <t>EC-ELE-0001</t>
  </si>
  <si>
    <t>PixelWorks Travel Webcam</t>
  </si>
  <si>
    <t>Electronics</t>
  </si>
  <si>
    <t>Pixelworks</t>
  </si>
  <si>
    <t>Dovetail Trading Co.</t>
  </si>
  <si>
    <t>LON-A1</t>
  </si>
  <si>
    <t>PRD00002</t>
  </si>
  <si>
    <t>EC-ELE-0002</t>
  </si>
  <si>
    <t>Everyday Co. Pro Phone Charger</t>
  </si>
  <si>
    <t>Everyday Co.</t>
  </si>
  <si>
    <t>Everwell Supply</t>
  </si>
  <si>
    <t>MAN-A1</t>
  </si>
  <si>
    <t>PRD00003</t>
  </si>
  <si>
    <t>EC-HOM-0003</t>
  </si>
  <si>
    <t>Kindred Travel LED Strip Lights</t>
  </si>
  <si>
    <t>Home &amp; Office</t>
  </si>
  <si>
    <t>Kindred</t>
  </si>
  <si>
    <t>Juniper Merchants</t>
  </si>
  <si>
    <t>PRD00004</t>
  </si>
  <si>
    <t>EC-KIT-0004</t>
  </si>
  <si>
    <t>PixelWorks Essential Food Storage Set - Charcoal</t>
  </si>
  <si>
    <t>Kitchen</t>
  </si>
  <si>
    <t>Greenway Goods</t>
  </si>
  <si>
    <t>GLA-A2</t>
  </si>
  <si>
    <t>PRD00005</t>
  </si>
  <si>
    <t>EC-ACC-0005</t>
  </si>
  <si>
    <t>Kite &amp; Key Essential Screen Protector</t>
  </si>
  <si>
    <t>Accessories</t>
  </si>
  <si>
    <t>Kite &amp; Key</t>
  </si>
  <si>
    <t>BHM-C3</t>
  </si>
  <si>
    <t>PRD00006</t>
  </si>
  <si>
    <t>EC-HOM-0006</t>
  </si>
  <si>
    <t>Morrow Everyday Desk Lamp</t>
  </si>
  <si>
    <t>Morrow</t>
  </si>
  <si>
    <t>Ivory Peak Logistics</t>
  </si>
  <si>
    <t>LDS-B1</t>
  </si>
  <si>
    <t>PRD00007</t>
  </si>
  <si>
    <t>EC-BEA-0007</t>
  </si>
  <si>
    <t>Harbour &amp; Hill Deluxe Hand Cream</t>
  </si>
  <si>
    <t>Beauty</t>
  </si>
  <si>
    <t>Harbour &amp; Hill</t>
  </si>
  <si>
    <t>PRD00008</t>
  </si>
  <si>
    <t>EC-BEA-0008</t>
  </si>
  <si>
    <t>Morrow Travel Shampoo</t>
  </si>
  <si>
    <t>Bluegate Distribution</t>
  </si>
  <si>
    <t>PRD00009</t>
  </si>
  <si>
    <t>EC-PET-0009</t>
  </si>
  <si>
    <t>Oak &amp; Ember Essential Dog Lead</t>
  </si>
  <si>
    <t>Pet Supplies</t>
  </si>
  <si>
    <t>Oak &amp; Ember</t>
  </si>
  <si>
    <t>Unknown</t>
  </si>
  <si>
    <t>PRD00010</t>
  </si>
  <si>
    <t>EC-ACC-0010</t>
  </si>
  <si>
    <t>Urban Field Essential Screen Protector - Black</t>
  </si>
  <si>
    <t>Urban Field</t>
  </si>
  <si>
    <t>PRD00011</t>
  </si>
  <si>
    <t>EC-GAR-0011</t>
  </si>
  <si>
    <t>Oak &amp; Ember Eco Garden Gloves - Rose</t>
  </si>
  <si>
    <t>Garden</t>
  </si>
  <si>
    <t>Harbour Stockists</t>
  </si>
  <si>
    <t>PRD00012</t>
  </si>
  <si>
    <t>EC-TRA-0012</t>
  </si>
  <si>
    <t>Kindred Travel Packing Cubes - Sage</t>
  </si>
  <si>
    <t>Travel</t>
  </si>
  <si>
    <t>Crownline Imports</t>
  </si>
  <si>
    <t>PRD00013</t>
  </si>
  <si>
    <t>EC-HOM-0013</t>
  </si>
  <si>
    <t>Northstar Compact LED Strip Lights</t>
  </si>
  <si>
    <t>Northstar</t>
  </si>
  <si>
    <t>PRD00014</t>
  </si>
  <si>
    <t>EC-FIT-0014</t>
  </si>
  <si>
    <t>Morrow Mini Yoga Mat</t>
  </si>
  <si>
    <t>Fitness</t>
  </si>
  <si>
    <t>PRD00015</t>
  </si>
  <si>
    <t>EC-BEA-0015</t>
  </si>
  <si>
    <t>Kite &amp; Key Everyday Facial Cleanser</t>
  </si>
  <si>
    <t>PRD00016</t>
  </si>
  <si>
    <t>EC-BEA-0016</t>
  </si>
  <si>
    <t>Kindred Eco Hand Cream - Black</t>
  </si>
  <si>
    <t>PRD00017</t>
  </si>
  <si>
    <t>EC-GAR-0017</t>
  </si>
  <si>
    <t>Harbour &amp; Hill Compact Garden Gloves</t>
  </si>
  <si>
    <t>LON-B2</t>
  </si>
  <si>
    <t>PRD00018</t>
  </si>
  <si>
    <t>EC-PET-0018</t>
  </si>
  <si>
    <t>Morrow Essential Cat Toy</t>
  </si>
  <si>
    <t>Aster Wholesale Ltd</t>
  </si>
  <si>
    <t>PRD00019</t>
  </si>
  <si>
    <t>EC-KIT-0019</t>
  </si>
  <si>
    <t>Harbour &amp; Hill Travel Coffee Grinder</t>
  </si>
  <si>
    <t>PRD00020</t>
  </si>
  <si>
    <t>EC-HOM-0020</t>
  </si>
  <si>
    <t>Kite &amp; Key Pro Water Bottle</t>
  </si>
  <si>
    <t>PRD00021</t>
  </si>
  <si>
    <t>EC-ELE-0021</t>
  </si>
  <si>
    <t>PixelWorks Plus Laptop Stand</t>
  </si>
  <si>
    <t>PRD00022</t>
  </si>
  <si>
    <t>EC-ELE-0022</t>
  </si>
  <si>
    <t>Northstar Deluxe Mechanical Keyboard</t>
  </si>
  <si>
    <t>PRD00023</t>
  </si>
  <si>
    <t>EC-BOO-0023</t>
  </si>
  <si>
    <t>PixelWorks Mini Cookbook</t>
  </si>
  <si>
    <t>Books</t>
  </si>
  <si>
    <t>PRD00024</t>
  </si>
  <si>
    <t>EC-ELE-0024</t>
  </si>
  <si>
    <t>Nova Supply Mini Webcam</t>
  </si>
  <si>
    <t>Nova Supply</t>
  </si>
  <si>
    <t>PRD00025</t>
  </si>
  <si>
    <t>EC-KIT-0025</t>
  </si>
  <si>
    <t>Oak &amp; Ember Plus Coffee Grinder</t>
  </si>
  <si>
    <t>PRD00026</t>
  </si>
  <si>
    <t>EC-ELE-0026</t>
  </si>
  <si>
    <t>Urban Field Studio Webcam - White</t>
  </si>
  <si>
    <t>PRD00027</t>
  </si>
  <si>
    <t>EC-ACC-0027</t>
  </si>
  <si>
    <t>Harbour &amp; Hill Deluxe Screen Protector</t>
  </si>
  <si>
    <t>PRD00028</t>
  </si>
  <si>
    <t>EC-ELE-0028</t>
  </si>
  <si>
    <t>Northstar Pro USB-C Hub</t>
  </si>
  <si>
    <t>PRD00029</t>
  </si>
  <si>
    <t>EC-PET-0029</t>
  </si>
  <si>
    <t>Kindred Mini Cat Toy</t>
  </si>
  <si>
    <t>PRD00030</t>
  </si>
  <si>
    <t>EC-ACC-0030</t>
  </si>
  <si>
    <t>Kindred Mini Phone Case</t>
  </si>
  <si>
    <t>PRD00031</t>
  </si>
  <si>
    <t>EC-HOM-0031</t>
  </si>
  <si>
    <t>Oak &amp; Ember Everyday Desk Organiser</t>
  </si>
  <si>
    <t>PRD00032</t>
  </si>
  <si>
    <t>EC-KIT-0032</t>
  </si>
  <si>
    <t>Cedar Lane Plus Food Storage Set - Sage</t>
  </si>
  <si>
    <t>Cedar Lane</t>
  </si>
  <si>
    <t>PRD00033</t>
  </si>
  <si>
    <t>EC-HOM-0033</t>
  </si>
  <si>
    <t>Cedar Lane Travel LED Strip Lights</t>
  </si>
  <si>
    <t>PRD00034</t>
  </si>
  <si>
    <t>EC-HOM-0034</t>
  </si>
  <si>
    <t>Nova Supply Everyday Desk Organiser</t>
  </si>
  <si>
    <t>PRD00035</t>
  </si>
  <si>
    <t>EC-BEA-0035</t>
  </si>
  <si>
    <t>Harbour &amp; Hill Mini Hand Cream - Natural</t>
  </si>
  <si>
    <t>PRD00036</t>
  </si>
  <si>
    <t>EC-ELE-0036</t>
  </si>
  <si>
    <t>PixelWorks Compact Wireless Mouse</t>
  </si>
  <si>
    <t>Foxbridge Partners</t>
  </si>
  <si>
    <t>PRD00037</t>
  </si>
  <si>
    <t>EC-ELE-0037</t>
  </si>
  <si>
    <t>Harbour &amp; Hill Pro Mechanical Keyboard</t>
  </si>
  <si>
    <t>PRD00038</t>
  </si>
  <si>
    <t>EC-HOM-0038</t>
  </si>
  <si>
    <t>PixelWorks Compact Desk Organiser</t>
  </si>
  <si>
    <t>PRD00039</t>
  </si>
  <si>
    <t>EC-PET-0039</t>
  </si>
  <si>
    <t>Cedar Lane Mini Dog Lead</t>
  </si>
  <si>
    <t>PRD00040</t>
  </si>
  <si>
    <t>EC-KIT-0040</t>
  </si>
  <si>
    <t>PixelWorks Deluxe Ceramic Mug</t>
  </si>
  <si>
    <t>PRD00041</t>
  </si>
  <si>
    <t>EC-ACC-0041</t>
  </si>
  <si>
    <t>Morrow Pro Canvas Tote Bag</t>
  </si>
  <si>
    <t>PRD00042</t>
  </si>
  <si>
    <t>EC-ACC-0042</t>
  </si>
  <si>
    <t>Harbour &amp; Hill Classic Phone Case</t>
  </si>
  <si>
    <t>PRD00043</t>
  </si>
  <si>
    <t>EC-ELE-0043</t>
  </si>
  <si>
    <t>Harbour &amp; Hill Plus Laptop Stand - Navy</t>
  </si>
  <si>
    <t>PRD00044</t>
  </si>
  <si>
    <t>EC-ELE-0044</t>
  </si>
  <si>
    <t>Brightline Eco Bluetooth Speaker</t>
  </si>
  <si>
    <t>Brightline</t>
  </si>
  <si>
    <t>PRD00045</t>
  </si>
  <si>
    <t>EC-ELE-0045</t>
  </si>
  <si>
    <t>Cedar Lane Plus Phone Charger</t>
  </si>
  <si>
    <t>PRD00046</t>
  </si>
  <si>
    <t>EC-STA-0046</t>
  </si>
  <si>
    <t>Kindred Pro Notebook Set</t>
  </si>
  <si>
    <t>Stationery</t>
  </si>
  <si>
    <t>PRD00047</t>
  </si>
  <si>
    <t>EC-STA-0047</t>
  </si>
  <si>
    <t>Cedar Lane Plus Ballpoint Pens</t>
  </si>
  <si>
    <t>PRD00048</t>
  </si>
  <si>
    <t>EC-APP-0048</t>
  </si>
  <si>
    <t>Morrow Mini Running Socks - Sage</t>
  </si>
  <si>
    <t>Apparel</t>
  </si>
  <si>
    <t>PRD00049</t>
  </si>
  <si>
    <t>EC-PET-0049</t>
  </si>
  <si>
    <t>Kindred Deluxe Dog Lead - Sage</t>
  </si>
  <si>
    <t>PRD00050</t>
  </si>
  <si>
    <t>EC-PET-0050</t>
  </si>
  <si>
    <t>Kite &amp; Key Mini Cat Toy</t>
  </si>
  <si>
    <t>PRD00051</t>
  </si>
  <si>
    <t>EC-ELE-0051</t>
  </si>
  <si>
    <t>Morrow Everyday USB-C Hub</t>
  </si>
  <si>
    <t>PRD00052</t>
  </si>
  <si>
    <t>EC-FIT-0052</t>
  </si>
  <si>
    <t>PixelWorks Eco Resistance Bands</t>
  </si>
  <si>
    <t>PRD00053</t>
  </si>
  <si>
    <t>EC-ELE-0053</t>
  </si>
  <si>
    <t>Oak &amp; Ember Pro Bluetooth Speaker - Navy</t>
  </si>
  <si>
    <t>PRD00054</t>
  </si>
  <si>
    <t>EC-STA-0054</t>
  </si>
  <si>
    <t>Nova Supply Premium Ballpoint Pens</t>
  </si>
  <si>
    <t>PRD00055</t>
  </si>
  <si>
    <t>EC-ELE-0055</t>
  </si>
  <si>
    <t>Morrow Eco Phone Charger - Charcoal</t>
  </si>
  <si>
    <t>PRD00056</t>
  </si>
  <si>
    <t>EC-HOM-0056</t>
  </si>
  <si>
    <t>Kindred Plus Desk Organiser</t>
  </si>
  <si>
    <t>PRD00057</t>
  </si>
  <si>
    <t>EC-APP-0057</t>
  </si>
  <si>
    <t>Nova Supply Essential Cotton T-Shirt</t>
  </si>
  <si>
    <t>PRD00058</t>
  </si>
  <si>
    <t>EC-ACC-0058</t>
  </si>
  <si>
    <t>Cedar Lane Studio Sunglasses - Blue</t>
  </si>
  <si>
    <t>PRD00059</t>
  </si>
  <si>
    <t>EC-ELE-0059</t>
  </si>
  <si>
    <t>Urban Field Everyday Webcam - Charcoal</t>
  </si>
  <si>
    <t>PRD00060</t>
  </si>
  <si>
    <t>EC-ACC-0060</t>
  </si>
  <si>
    <t>Northstar Essential Phone Case</t>
  </si>
  <si>
    <t>PRD00061</t>
  </si>
  <si>
    <t>EC-BEA-0061</t>
  </si>
  <si>
    <t>Harbour &amp; Hill Studio Facial Cleanser - Graphite</t>
  </si>
  <si>
    <t>PRD00062</t>
  </si>
  <si>
    <t>EC-PET-0062</t>
  </si>
  <si>
    <t>Cedar Lane Compact Cat Toy</t>
  </si>
  <si>
    <t>PRD00063</t>
  </si>
  <si>
    <t>EC-BEA-0063</t>
  </si>
  <si>
    <t>Cedar Lane Classic Hand Cream</t>
  </si>
  <si>
    <t>PRD00064</t>
  </si>
  <si>
    <t>EC-ELE-0064</t>
  </si>
  <si>
    <t>Kite &amp; Key Travel Mechanical Keyboard</t>
  </si>
  <si>
    <t>PRD00065</t>
  </si>
  <si>
    <t>EC-BEA-0065</t>
  </si>
  <si>
    <t>Kindred Everyday Facial Cleanser - Charcoal</t>
  </si>
  <si>
    <t>PRD00066</t>
  </si>
  <si>
    <t>EC-HOM-0066</t>
  </si>
  <si>
    <t>Everyday Co. Studio Ergonomic Chair</t>
  </si>
  <si>
    <t>PRD00067</t>
  </si>
  <si>
    <t>EC-HOM-0067</t>
  </si>
  <si>
    <t>Brightline Travel Travel Mug</t>
  </si>
  <si>
    <t>PRD00068</t>
  </si>
  <si>
    <t>EC-KIT-0068</t>
  </si>
  <si>
    <t>Brightline Studio Food Storage Set</t>
  </si>
  <si>
    <t>PRD00069</t>
  </si>
  <si>
    <t>EC-ELE-0069</t>
  </si>
  <si>
    <t>Oak &amp; Ember Premium Laptop Stand</t>
  </si>
  <si>
    <t>PRD00070</t>
  </si>
  <si>
    <t>EC-ELE-0070</t>
  </si>
  <si>
    <t>PixelWorks Plus Bluetooth Speaker</t>
  </si>
  <si>
    <t>PRD00071</t>
  </si>
  <si>
    <t>EC-ELE-0071</t>
  </si>
  <si>
    <t>Oak &amp; Ember Everyday Mechanical Keyboard</t>
  </si>
  <si>
    <t>PRD00072</t>
  </si>
  <si>
    <t>EC-HOM-0072</t>
  </si>
  <si>
    <t>Cedar Lane Everyday Desk Organiser</t>
  </si>
  <si>
    <t>PRD00073</t>
  </si>
  <si>
    <t>EC-ACC-0073</t>
  </si>
  <si>
    <t>Harbour &amp; Hill Travel Screen Protector</t>
  </si>
  <si>
    <t>PRD00074</t>
  </si>
  <si>
    <t>EC-STA-0074</t>
  </si>
  <si>
    <t>Morrow Compact Notebook Set</t>
  </si>
  <si>
    <t>PRD00075</t>
  </si>
  <si>
    <t>EC-GAR-0075</t>
  </si>
  <si>
    <t>Everyday Co. Premium Plant Pot</t>
  </si>
  <si>
    <t>PRD00076</t>
  </si>
  <si>
    <t>EC-HOM-0076</t>
  </si>
  <si>
    <t>Northstar Eco Desk Organiser - Sage</t>
  </si>
  <si>
    <t>PRD00077</t>
  </si>
  <si>
    <t>EC-KIT-0077</t>
  </si>
  <si>
    <t>Kindred Premium Coffee Grinder</t>
  </si>
  <si>
    <t>PRD00078</t>
  </si>
  <si>
    <t>EC-HEA-0078</t>
  </si>
  <si>
    <t>Cedar Lane Pro First Aid Kit</t>
  </si>
  <si>
    <t>Health</t>
  </si>
  <si>
    <t>PRD00079</t>
  </si>
  <si>
    <t>EC-ELE-0079</t>
  </si>
  <si>
    <t>Everyday Co. Everyday Webcam</t>
  </si>
  <si>
    <t>PRD00080</t>
  </si>
  <si>
    <t>EC-HEA-0080</t>
  </si>
  <si>
    <t>Harbour &amp; Hill Essential First Aid Kit</t>
  </si>
  <si>
    <t>PRD00081</t>
  </si>
  <si>
    <t>EC-APP-0081</t>
  </si>
  <si>
    <t>Kindred Eco Cotton T-Shirt - Rose</t>
  </si>
  <si>
    <t>PRD00082</t>
  </si>
  <si>
    <t>EC-GAR-0082</t>
  </si>
  <si>
    <t>Cedar Lane Deluxe Garden Gloves</t>
  </si>
  <si>
    <t>PRD00083</t>
  </si>
  <si>
    <t>EC-STA-0083</t>
  </si>
  <si>
    <t>Harbour &amp; Hill Eco Notebook Set - Graphite</t>
  </si>
  <si>
    <t>PRD00084</t>
  </si>
  <si>
    <t>EC-GAR-0084</t>
  </si>
  <si>
    <t>Oak &amp; Ember Deluxe Plant Pot</t>
  </si>
  <si>
    <t>PRD00085</t>
  </si>
  <si>
    <t>EC-ELE-0085</t>
  </si>
  <si>
    <t>Harbour &amp; Hill Travel Wireless Mouse</t>
  </si>
  <si>
    <t>PRD00086</t>
  </si>
  <si>
    <t>EC-HOM-0086</t>
  </si>
  <si>
    <t>Urban Field Essential Water Bottle</t>
  </si>
  <si>
    <t>PRD00087</t>
  </si>
  <si>
    <t>EC-ELE-0087</t>
  </si>
  <si>
    <t>Brightline Deluxe Webcam</t>
  </si>
  <si>
    <t>PRD00088</t>
  </si>
  <si>
    <t>EC-ELE-0088</t>
  </si>
  <si>
    <t>Everyday Co. Mini HDMI Cable</t>
  </si>
  <si>
    <t>PRD00089</t>
  </si>
  <si>
    <t>EC-ELE-0089</t>
  </si>
  <si>
    <t>PixelWorks Everyday Phone Charger</t>
  </si>
  <si>
    <t>PRD00090</t>
  </si>
  <si>
    <t>EC-ACC-0090</t>
  </si>
  <si>
    <t>Everyday Co. Essential Backpack - Blue</t>
  </si>
  <si>
    <t>PRD00091</t>
  </si>
  <si>
    <t>EC-APP-0091</t>
  </si>
  <si>
    <t>Kindred Travel Running Socks - Natural</t>
  </si>
  <si>
    <t>PRD00092</t>
  </si>
  <si>
    <t>EC-APP-0092</t>
  </si>
  <si>
    <t>PixelWorks Compact Cotton T-Shirt</t>
  </si>
  <si>
    <t>PRD00093</t>
  </si>
  <si>
    <t>EC-APP-0093</t>
  </si>
  <si>
    <t>Kindred Studio Cotton T-Shirt - Natural</t>
  </si>
  <si>
    <t>PRD00094</t>
  </si>
  <si>
    <t>EC-HOM-0094</t>
  </si>
  <si>
    <t>Kindred Plus Water Bottle</t>
  </si>
  <si>
    <t>PRD00095</t>
  </si>
  <si>
    <t>EC-HOM-0095</t>
  </si>
  <si>
    <t>Kite &amp; Key Studio Ergonomic Chair</t>
  </si>
  <si>
    <t>PRD00096</t>
  </si>
  <si>
    <t>EC-TRA-0096</t>
  </si>
  <si>
    <t>Harbour &amp; Hill Eco Packing Cubes</t>
  </si>
  <si>
    <t>PRD00097</t>
  </si>
  <si>
    <t>EC-HOM-0097</t>
  </si>
  <si>
    <t>Kindred Mini LED Strip Lights</t>
  </si>
  <si>
    <t>PRD00098</t>
  </si>
  <si>
    <t>EC-ELE-0098</t>
  </si>
  <si>
    <t>PixelWorks Deluxe Webcam</t>
  </si>
  <si>
    <t>PRD00099</t>
  </si>
  <si>
    <t>EC-APP-0099</t>
  </si>
  <si>
    <t>Urban Field Classic Cotton T-Shirt</t>
  </si>
  <si>
    <t>PRD00100</t>
  </si>
  <si>
    <t>EC-APP-0100</t>
  </si>
  <si>
    <t>Everyday Co. Plus Cotton T-Shirt</t>
  </si>
  <si>
    <t>PRD00101</t>
  </si>
  <si>
    <t>EC-ELE-0101</t>
  </si>
  <si>
    <t>Oak &amp; Ember Deluxe USB-C Hub</t>
  </si>
  <si>
    <t>PRD00102</t>
  </si>
  <si>
    <t>EC-GAR-0102</t>
  </si>
  <si>
    <t>Urban Field Studio Garden Gloves</t>
  </si>
  <si>
    <t>PRD00103</t>
  </si>
  <si>
    <t>EC-ELE-0103</t>
  </si>
  <si>
    <t>Urban Field Deluxe HDMI Cable</t>
  </si>
  <si>
    <t>PRD00104</t>
  </si>
  <si>
    <t>EC-ELE-0104</t>
  </si>
  <si>
    <t>Everyday Co. Everyday USB-C Hub</t>
  </si>
  <si>
    <t>PRD00105</t>
  </si>
  <si>
    <t>EC-HOM-0105</t>
  </si>
  <si>
    <t>PixelWorks Pro Ergonomic Chair</t>
  </si>
  <si>
    <t>PRD00106</t>
  </si>
  <si>
    <t>EC-STA-0106</t>
  </si>
  <si>
    <t>Urban Field Everyday Notebook Set</t>
  </si>
  <si>
    <t>PRD00107</t>
  </si>
  <si>
    <t>EC-BEA-0107</t>
  </si>
  <si>
    <t>Everyday Co. Eco Hand Cream - Graphite</t>
  </si>
  <si>
    <t>PRD00108</t>
  </si>
  <si>
    <t>EC-ELE-0108</t>
  </si>
  <si>
    <t>Oak &amp; Ember Premium Bluetooth Speaker</t>
  </si>
  <si>
    <t>PRD00109</t>
  </si>
  <si>
    <t>EC-ACC-0109</t>
  </si>
  <si>
    <t>Everyday Co. Essential Screen Protector</t>
  </si>
  <si>
    <t>PRD00110</t>
  </si>
  <si>
    <t>EC-HOM-0110</t>
  </si>
  <si>
    <t>Cedar Lane Classic Ergonomic Chair</t>
  </si>
  <si>
    <t>PRD00111</t>
  </si>
  <si>
    <t>EC-KIT-0111</t>
  </si>
  <si>
    <t>Cedar Lane Plus Coffee Grinder - Graphite</t>
  </si>
  <si>
    <t>PRD00112</t>
  </si>
  <si>
    <t>EC-KIT-0112</t>
  </si>
  <si>
    <t>PixelWorks Everyday Coffee Grinder</t>
  </si>
  <si>
    <t>PRD00113</t>
  </si>
  <si>
    <t>EC-ELE-0113</t>
  </si>
  <si>
    <t>Nova Supply Studio Laptop Stand</t>
  </si>
  <si>
    <t>PRD00114</t>
  </si>
  <si>
    <t>EC-ACC-0114</t>
  </si>
  <si>
    <t>Brightline Eco Backpack</t>
  </si>
  <si>
    <t>PRD00115</t>
  </si>
  <si>
    <t>EC-STA-0115</t>
  </si>
  <si>
    <t>Harbour &amp; Hill Eco Ballpoint Pens</t>
  </si>
  <si>
    <t>PRD00116</t>
  </si>
  <si>
    <t>EC-ACC-0116</t>
  </si>
  <si>
    <t>Brightline Compact Backpack</t>
  </si>
  <si>
    <t>PRD00117</t>
  </si>
  <si>
    <t>EC-KIT-0117</t>
  </si>
  <si>
    <t>Cedar Lane Compact Coffee Grinder</t>
  </si>
  <si>
    <t>PRD00118</t>
  </si>
  <si>
    <t>EC-BEA-0118</t>
  </si>
  <si>
    <t>Northstar Pro Facial Cleanser</t>
  </si>
  <si>
    <t>PRD00119</t>
  </si>
  <si>
    <t>EC-ACC-0119</t>
  </si>
  <si>
    <t>Kindred Mini Backpack - Charcoal</t>
  </si>
  <si>
    <t>PRD00120</t>
  </si>
  <si>
    <t>EC-APP-0120</t>
  </si>
  <si>
    <t>Oak &amp; Ember Studio Cotton T-Shirt - Sage</t>
  </si>
  <si>
    <t>PRD00121</t>
  </si>
  <si>
    <t>EC-ELE-0121</t>
  </si>
  <si>
    <t>Cedar Lane Premium Mechanical Keyboard</t>
  </si>
  <si>
    <t>PRD00122</t>
  </si>
  <si>
    <t>EC-GAR-0122</t>
  </si>
  <si>
    <t>Northstar Compact Plant Pot</t>
  </si>
  <si>
    <t>PRD00123</t>
  </si>
  <si>
    <t>EC-ELE-0123</t>
  </si>
  <si>
    <t>Kite &amp; Key Compact USB-C Hub</t>
  </si>
  <si>
    <t>PRD00124</t>
  </si>
  <si>
    <t>EC-ACC-0124</t>
  </si>
  <si>
    <t>Northstar Everyday Sunglasses</t>
  </si>
  <si>
    <t>PRD00125</t>
  </si>
  <si>
    <t>EC-ACC-0125</t>
  </si>
  <si>
    <t>Brightline Mini Phone Case - White</t>
  </si>
  <si>
    <t>PRD00126</t>
  </si>
  <si>
    <t>EC-HOM-0126</t>
  </si>
  <si>
    <t>Northstar Classic Water Bottle - Sage</t>
  </si>
  <si>
    <t>PRD00127</t>
  </si>
  <si>
    <t>EC-STA-0127</t>
  </si>
  <si>
    <t>Kite &amp; Key Everyday Ballpoint Pens - Black</t>
  </si>
  <si>
    <t>PRD00128</t>
  </si>
  <si>
    <t>EC-ELE-0128</t>
  </si>
  <si>
    <t>PixelWorks Essential USB-C Hub</t>
  </si>
  <si>
    <t>PRD00129</t>
  </si>
  <si>
    <t>EC-ELE-0129</t>
  </si>
  <si>
    <t>Morrow Eco Power Bank</t>
  </si>
  <si>
    <t>PRD00130</t>
  </si>
  <si>
    <t>EC-ACC-0130</t>
  </si>
  <si>
    <t>Morrow Mini Phone Case</t>
  </si>
  <si>
    <t>PRD00131</t>
  </si>
  <si>
    <t>EC-ACC-0131</t>
  </si>
  <si>
    <t>Cedar Lane Premium Screen Protector</t>
  </si>
  <si>
    <t>PRD00132</t>
  </si>
  <si>
    <t>EC-STA-0132</t>
  </si>
  <si>
    <t>Harbour &amp; Hill Pro Notebook Set</t>
  </si>
  <si>
    <t>PRD00133</t>
  </si>
  <si>
    <t>EC-PET-0133</t>
  </si>
  <si>
    <t>Kindred Plus Cat Toy</t>
  </si>
  <si>
    <t>PRD00134</t>
  </si>
  <si>
    <t>EC-APP-0134</t>
  </si>
  <si>
    <t>Morrow Plus Cotton T-Shirt</t>
  </si>
  <si>
    <t>PRD00135</t>
  </si>
  <si>
    <t>EC-GAR-0135</t>
  </si>
  <si>
    <t>Cedar Lane Studio Garden Gloves</t>
  </si>
  <si>
    <t>PRD00136</t>
  </si>
  <si>
    <t>EC-HOM-0136</t>
  </si>
  <si>
    <t>PixelWorks Premium Desk Lamp</t>
  </si>
  <si>
    <t>PRD00137</t>
  </si>
  <si>
    <t>EC-ELE-0137</t>
  </si>
  <si>
    <t>Nova Supply Travel Bluetooth Speaker - Navy</t>
  </si>
  <si>
    <t>PRD00138</t>
  </si>
  <si>
    <t>EC-ACC-0138</t>
  </si>
  <si>
    <t>Northstar Essential Phone Case - Black</t>
  </si>
  <si>
    <t>PRD00139</t>
  </si>
  <si>
    <t>EC-BEA-0139</t>
  </si>
  <si>
    <t>Oak &amp; Ember Deluxe Shampoo</t>
  </si>
  <si>
    <t>PRD00140</t>
  </si>
  <si>
    <t>EC-BEA-0140</t>
  </si>
  <si>
    <t>Everyday Co. Plus Shampoo - Blue</t>
  </si>
  <si>
    <t>PRD00141</t>
  </si>
  <si>
    <t>EC-KIT-0141</t>
  </si>
  <si>
    <t>Cedar Lane Mini Coffee Grinder</t>
  </si>
  <si>
    <t>PRD00142</t>
  </si>
  <si>
    <t>EC-HOM-0142</t>
  </si>
  <si>
    <t>Everyday Co. Classic LED Strip Lights</t>
  </si>
  <si>
    <t>PRD00143</t>
  </si>
  <si>
    <t>EC-ELE-0143</t>
  </si>
  <si>
    <t>PixelWorks Plus Wireless Mouse - White</t>
  </si>
  <si>
    <t>PRD00144</t>
  </si>
  <si>
    <t>EC-ELE-0144</t>
  </si>
  <si>
    <t>Cedar Lane Premium USB-C Hub</t>
  </si>
  <si>
    <t>PRD00145</t>
  </si>
  <si>
    <t>EC-STA-0145</t>
  </si>
  <si>
    <t>Urban Field Everyday Ballpoint Pens</t>
  </si>
  <si>
    <t>PRD00146</t>
  </si>
  <si>
    <t>EC-ELE-0146</t>
  </si>
  <si>
    <t>PixelWorks Pro Wireless Mouse</t>
  </si>
  <si>
    <t>PRD00147</t>
  </si>
  <si>
    <t>EC-ACC-0147</t>
  </si>
  <si>
    <t>Everyday Co. Eco Canvas Tote Bag</t>
  </si>
  <si>
    <t>PRD00148</t>
  </si>
  <si>
    <t>EC-ELE-0148</t>
  </si>
  <si>
    <t>Oak &amp; Ember Plus Bluetooth Speaker - Blue</t>
  </si>
  <si>
    <t>PRD00149</t>
  </si>
  <si>
    <t>EC-ACC-0149</t>
  </si>
  <si>
    <t>PixelWorks Essential Phone Case</t>
  </si>
  <si>
    <t>PRD00150</t>
  </si>
  <si>
    <t>EC-TRA-0150</t>
  </si>
  <si>
    <t>Urban Field Deluxe Packing Cubes</t>
  </si>
  <si>
    <t>PRD00151</t>
  </si>
  <si>
    <t>EC-FIT-0151</t>
  </si>
  <si>
    <t>Northstar Everyday Yoga Mat - Blue</t>
  </si>
  <si>
    <t>PRD00152</t>
  </si>
  <si>
    <t>EC-HOM-0152</t>
  </si>
  <si>
    <t>Cedar Lane Studio LED Strip Lights</t>
  </si>
  <si>
    <t>PRD00153</t>
  </si>
  <si>
    <t>EC-BOO-0153</t>
  </si>
  <si>
    <t>Harbour &amp; Hill Premium Cookbook - Navy</t>
  </si>
  <si>
    <t>PRD00154</t>
  </si>
  <si>
    <t>EC-ELE-0154</t>
  </si>
  <si>
    <t>Northstar Classic Webcam</t>
  </si>
  <si>
    <t>PRD00155</t>
  </si>
  <si>
    <t>EC-ELE-0155</t>
  </si>
  <si>
    <t>Morrow Classic Wireless Mouse</t>
  </si>
  <si>
    <t>PRD00156</t>
  </si>
  <si>
    <t>EC-HOM-0156</t>
  </si>
  <si>
    <t>Northstar Plus Desk Lamp</t>
  </si>
  <si>
    <t>PRD00157</t>
  </si>
  <si>
    <t>EC-ACC-0157</t>
  </si>
  <si>
    <t>Harbour &amp; Hill Pro Backpack - Silver</t>
  </si>
  <si>
    <t>PRD00158</t>
  </si>
  <si>
    <t>EC-HOM-0158</t>
  </si>
  <si>
    <t>Everyday Co. Plus Travel Mug</t>
  </si>
  <si>
    <t>PRD00159</t>
  </si>
  <si>
    <t>EC-ACC-0159</t>
  </si>
  <si>
    <t>Urban Field Eco Sunglasses</t>
  </si>
  <si>
    <t>PRD00160</t>
  </si>
  <si>
    <t>EC-ACC-0160</t>
  </si>
  <si>
    <t>Kindred Deluxe Backpack</t>
  </si>
  <si>
    <t>PRD00161</t>
  </si>
  <si>
    <t>EC-ELE-0161</t>
  </si>
  <si>
    <t>Urban Field Studio Webcam</t>
  </si>
  <si>
    <t>PRD00162</t>
  </si>
  <si>
    <t>EC-ELE-0162</t>
  </si>
  <si>
    <t>Morrow Pro Laptop Stand</t>
  </si>
  <si>
    <t>PRD00163</t>
  </si>
  <si>
    <t>EC-ACC-0163</t>
  </si>
  <si>
    <t>Brightline Pro Phone Case - Rose</t>
  </si>
  <si>
    <t>PRD00164</t>
  </si>
  <si>
    <t>EC-HOM-0164</t>
  </si>
  <si>
    <t>PixelWorks Studio Travel Mug</t>
  </si>
  <si>
    <t>PRD00165</t>
  </si>
  <si>
    <t>EC-ACC-0165</t>
  </si>
  <si>
    <t>Kindred Travel Canvas Tote Bag - Rose</t>
  </si>
  <si>
    <t>PRD00166</t>
  </si>
  <si>
    <t>EC-ACC-0166</t>
  </si>
  <si>
    <t>Northstar Pro Backpack</t>
  </si>
  <si>
    <t>PRD00167</t>
  </si>
  <si>
    <t>EC-ELE-0167</t>
  </si>
  <si>
    <t>Everyday Co. Studio Laptop Stand</t>
  </si>
  <si>
    <t>PRD00168</t>
  </si>
  <si>
    <t>EC-BEA-0168</t>
  </si>
  <si>
    <t>PixelWorks Plus Shampoo</t>
  </si>
  <si>
    <t>PRD00169</t>
  </si>
  <si>
    <t>EC-ELE-0169</t>
  </si>
  <si>
    <t>Nova Supply Studio Bluetooth Speaker</t>
  </si>
  <si>
    <t>PRD00170</t>
  </si>
  <si>
    <t>EC-APP-0170</t>
  </si>
  <si>
    <t>Everyday Co. Pro Hoodie - Navy</t>
  </si>
  <si>
    <t>PRD00171</t>
  </si>
  <si>
    <t>EC-FIT-0171</t>
  </si>
  <si>
    <t>Oak &amp; Ember Premium Resistance Bands</t>
  </si>
  <si>
    <t>PRD00172</t>
  </si>
  <si>
    <t>EC-HOM-0172</t>
  </si>
  <si>
    <t>PixelWorks Mini LED Strip Lights</t>
  </si>
  <si>
    <t>PRD00173</t>
  </si>
  <si>
    <t>EC-ACC-0173</t>
  </si>
  <si>
    <t>Everyday Co. Travel Backpack</t>
  </si>
  <si>
    <t>PRD00174</t>
  </si>
  <si>
    <t>EC-ELE-0174</t>
  </si>
  <si>
    <t>Harbour &amp; Hill Studio USB-C Hub - Sage</t>
  </si>
  <si>
    <t>PRD00175</t>
  </si>
  <si>
    <t>EC-HEA-0175</t>
  </si>
  <si>
    <t>Everyday Co. Pro First Aid Kit</t>
  </si>
  <si>
    <t>PRD00176</t>
  </si>
  <si>
    <t>EC-ACC-0176</t>
  </si>
  <si>
    <t>Nova Supply Studio Phone Case</t>
  </si>
  <si>
    <t>PRD00177</t>
  </si>
  <si>
    <t>EC-APP-0177</t>
  </si>
  <si>
    <t>Northstar Deluxe Running Socks</t>
  </si>
  <si>
    <t>PRD00178</t>
  </si>
  <si>
    <t>EC-ELE-0178</t>
  </si>
  <si>
    <t>Cedar Lane Classic Webcam</t>
  </si>
  <si>
    <t>PRD00179</t>
  </si>
  <si>
    <t>EC-ACC-0179</t>
  </si>
  <si>
    <t>Oak &amp; Ember Compact Phone Case</t>
  </si>
  <si>
    <t>PRD00180</t>
  </si>
  <si>
    <t>EC-ELE-0180</t>
  </si>
  <si>
    <t>Nova Supply Mini Power Bank - Natural</t>
  </si>
  <si>
    <t>PRD00181</t>
  </si>
  <si>
    <t>EC-PET-0181</t>
  </si>
  <si>
    <t>Morrow Travel Dog Lead</t>
  </si>
  <si>
    <t>PRD00182</t>
  </si>
  <si>
    <t>EC-FIT-0182</t>
  </si>
  <si>
    <t>Morrow Mini Resistance Bands</t>
  </si>
  <si>
    <t>PRD00183</t>
  </si>
  <si>
    <t>EC-GAR-0183</t>
  </si>
  <si>
    <t>Kindred Essential Garden Gloves</t>
  </si>
  <si>
    <t>PRD00184</t>
  </si>
  <si>
    <t>EC-APP-0184</t>
  </si>
  <si>
    <t>Cedar Lane Everyday Running Socks</t>
  </si>
  <si>
    <t>PRD00185</t>
  </si>
  <si>
    <t>EC-HEA-0185</t>
  </si>
  <si>
    <t>Northstar Everyday First Aid Kit</t>
  </si>
  <si>
    <t>PRD00186</t>
  </si>
  <si>
    <t>EC-FIT-0186</t>
  </si>
  <si>
    <t>PixelWorks Essential Yoga Mat - Graphite</t>
  </si>
  <si>
    <t>PRD00187</t>
  </si>
  <si>
    <t>EC-ACC-0187</t>
  </si>
  <si>
    <t>Everyday Co. Essential Sunglasses</t>
  </si>
  <si>
    <t>PRD00188</t>
  </si>
  <si>
    <t>EC-HOM-0188</t>
  </si>
  <si>
    <t>Morrow Eco Water Bottle</t>
  </si>
  <si>
    <t>PRD00189</t>
  </si>
  <si>
    <t>EC-ELE-0189</t>
  </si>
  <si>
    <t>Brightline Compact Power Bank</t>
  </si>
  <si>
    <t>PRD00190</t>
  </si>
  <si>
    <t>EC-ACC-0190</t>
  </si>
  <si>
    <t>Oak &amp; Ember Pro Sunglasses</t>
  </si>
  <si>
    <t>PRD00191</t>
  </si>
  <si>
    <t>EC-HOM-0191</t>
  </si>
  <si>
    <t>Everyday Co. Pro Water Bottle - Silver</t>
  </si>
  <si>
    <t>PRD00192</t>
  </si>
  <si>
    <t>EC-HOM-0192</t>
  </si>
  <si>
    <t>Oak &amp; Ember Compact Travel Mug</t>
  </si>
  <si>
    <t>PRD00193</t>
  </si>
  <si>
    <t>EC-ELE-0193</t>
  </si>
  <si>
    <t>Kindred Plus USB-C Hub</t>
  </si>
  <si>
    <t>PRD00194</t>
  </si>
  <si>
    <t>EC-GAR-0194</t>
  </si>
  <si>
    <t>Brightline Mini Garden Gloves</t>
  </si>
  <si>
    <t>PRD00195</t>
  </si>
  <si>
    <t>EC-HOM-0195</t>
  </si>
  <si>
    <t>Oak &amp; Ember Deluxe Desk Organiser</t>
  </si>
  <si>
    <t>PRD00196</t>
  </si>
  <si>
    <t>EC-FIT-0196</t>
  </si>
  <si>
    <t>Harbour &amp; Hill Mini Yoga Mat</t>
  </si>
  <si>
    <t>PRD00197</t>
  </si>
  <si>
    <t>EC-APP-0197</t>
  </si>
  <si>
    <t>Northstar Premium Cotton T-Shirt</t>
  </si>
  <si>
    <t>PRD00198</t>
  </si>
  <si>
    <t>EC-HOM-0198</t>
  </si>
  <si>
    <t>Northstar Mini Water Bottle</t>
  </si>
  <si>
    <t>PRD00199</t>
  </si>
  <si>
    <t>EC-KIT-0199</t>
  </si>
  <si>
    <t>Oak &amp; Ember Travel Coffee Grinder</t>
  </si>
  <si>
    <t>PRD00200</t>
  </si>
  <si>
    <t>EC-HOM-0200</t>
  </si>
  <si>
    <t>Kindred Studio Ergonomic Chair</t>
  </si>
  <si>
    <t>PRD00201</t>
  </si>
  <si>
    <t>EC-HOM-0201</t>
  </si>
  <si>
    <t>Kindred Travel Ergonomic Chair - Blue</t>
  </si>
  <si>
    <t>PRD00202</t>
  </si>
  <si>
    <t>EC-ACC-0202</t>
  </si>
  <si>
    <t>Northstar Mini Screen Protector</t>
  </si>
  <si>
    <t>PRD00203</t>
  </si>
  <si>
    <t>EC-HOM-0203</t>
  </si>
  <si>
    <t>Cedar Lane Plus Desk Organiser</t>
  </si>
  <si>
    <t>PRD00204</t>
  </si>
  <si>
    <t>EC-ELE-0204</t>
  </si>
  <si>
    <t>Kite &amp; Key Classic Wireless Mouse</t>
  </si>
  <si>
    <t>PRD00205</t>
  </si>
  <si>
    <t>EC-BEA-0205</t>
  </si>
  <si>
    <t>Oak &amp; Ember Everyday Shampoo</t>
  </si>
  <si>
    <t>PRD00206</t>
  </si>
  <si>
    <t>EC-ACC-0206</t>
  </si>
  <si>
    <t>Everyday Co. Pro Phone Case - Navy</t>
  </si>
  <si>
    <t>PRD00207</t>
  </si>
  <si>
    <t>EC-BEA-0207</t>
  </si>
  <si>
    <t>Harbour &amp; Hill Essential Hand Cream</t>
  </si>
  <si>
    <t>PRD00208</t>
  </si>
  <si>
    <t>EC-KIT-0208</t>
  </si>
  <si>
    <t>Cedar Lane Studio Ceramic Mug</t>
  </si>
  <si>
    <t>PRD00209</t>
  </si>
  <si>
    <t>EC-APP-0209</t>
  </si>
  <si>
    <t>Everyday Co. Essential Cotton T-Shirt</t>
  </si>
  <si>
    <t>PRD00210</t>
  </si>
  <si>
    <t>EC-HOM-0210</t>
  </si>
  <si>
    <t>Oak &amp; Ember Pro LED Strip Lights</t>
  </si>
  <si>
    <t>PRD00211</t>
  </si>
  <si>
    <t>EC-ELE-0211</t>
  </si>
  <si>
    <t>Brightline Pro Laptop Stand - Navy</t>
  </si>
  <si>
    <t>PRD00212</t>
  </si>
  <si>
    <t>EC-GAR-0212</t>
  </si>
  <si>
    <t>Brightline Essential Plant Pot</t>
  </si>
  <si>
    <t>PRD00213</t>
  </si>
  <si>
    <t>EC-HOM-0213</t>
  </si>
  <si>
    <t>Morrow Pro Ergonomic Chair</t>
  </si>
  <si>
    <t>PRD00214</t>
  </si>
  <si>
    <t>EC-GAR-0214</t>
  </si>
  <si>
    <t>Everyday Co. Compact Plant Pot</t>
  </si>
  <si>
    <t>PRD00215</t>
  </si>
  <si>
    <t>EC-FIT-0215</t>
  </si>
  <si>
    <t>Kite &amp; Key Compact Yoga Mat - Rose</t>
  </si>
  <si>
    <t>PRD00216</t>
  </si>
  <si>
    <t>EC-APP-0216</t>
  </si>
  <si>
    <t>Kindred Eco Running Socks</t>
  </si>
  <si>
    <t>PRD00217</t>
  </si>
  <si>
    <t>EC-BEA-0217</t>
  </si>
  <si>
    <t>Nova Supply Premium Shampoo</t>
  </si>
  <si>
    <t>PRD00218</t>
  </si>
  <si>
    <t>EC-ELE-0218</t>
  </si>
  <si>
    <t>Kindred Deluxe Power Bank - Black</t>
  </si>
  <si>
    <t>PRD00219</t>
  </si>
  <si>
    <t>EC-BEA-0219</t>
  </si>
  <si>
    <t>Brightline Deluxe Facial Cleanser</t>
  </si>
  <si>
    <t>PRD00220</t>
  </si>
  <si>
    <t>EC-HOM-0220</t>
  </si>
  <si>
    <t>Everyday Co. Deluxe Ergonomic Chair</t>
  </si>
  <si>
    <t>product_id</t>
  </si>
  <si>
    <t>sku</t>
  </si>
  <si>
    <t>Cleaned sku</t>
  </si>
  <si>
    <t>product_name</t>
  </si>
  <si>
    <t>Cleaned product name</t>
  </si>
  <si>
    <t>category</t>
  </si>
  <si>
    <t>Cleaned category</t>
  </si>
  <si>
    <t>brand</t>
  </si>
  <si>
    <t>Cleaned brand</t>
  </si>
  <si>
    <t>supplier</t>
  </si>
  <si>
    <t>Cleaned supplier</t>
  </si>
  <si>
    <t>unit_cost_gbp</t>
  </si>
  <si>
    <t>selling_price_gbp</t>
  </si>
  <si>
    <t>cleaned selling price gbp</t>
  </si>
  <si>
    <t>stock_quantity</t>
  </si>
  <si>
    <t>reorder_level</t>
  </si>
  <si>
    <t>warehouse_location</t>
  </si>
  <si>
    <t>cleaned warehouse location</t>
  </si>
  <si>
    <t>last_restocked</t>
  </si>
  <si>
    <t>PixelWorks</t>
  </si>
  <si>
    <t>146.54 GBP</t>
  </si>
  <si>
    <t>ec-hom-0003</t>
  </si>
  <si>
    <t xml:space="preserve"> PixelWorks </t>
  </si>
  <si>
    <t xml:space="preserve"> EC-ACC-0005 </t>
  </si>
  <si>
    <t xml:space="preserve"> MORROW </t>
  </si>
  <si>
    <t xml:space="preserve"> HARBOUR &amp; HILL </t>
  </si>
  <si>
    <t>beauty</t>
  </si>
  <si>
    <t xml:space="preserve"> Bluegate Distribution </t>
  </si>
  <si>
    <t xml:space="preserve">  Kindred Travel Packing Cubes - Sage  </t>
  </si>
  <si>
    <t xml:space="preserve"> Crownline Imports </t>
  </si>
  <si>
    <t>ec-fit-0014</t>
  </si>
  <si>
    <t xml:space="preserve"> KITE &amp; KEY </t>
  </si>
  <si>
    <t xml:space="preserve"> KINDRED </t>
  </si>
  <si>
    <t>102.02 GBP</t>
  </si>
  <si>
    <t>50.33 GBP</t>
  </si>
  <si>
    <t>Pet supplies</t>
  </si>
  <si>
    <t>lon-a1</t>
  </si>
  <si>
    <t>kitchen</t>
  </si>
  <si>
    <t xml:space="preserve"> EC-ELE-0022 </t>
  </si>
  <si>
    <t>5.07 GBP</t>
  </si>
  <si>
    <t xml:space="preserve"> EC-BOO-0023 </t>
  </si>
  <si>
    <t xml:space="preserve">  PixelWorks Mini Cookbook  </t>
  </si>
  <si>
    <t>bhm-c3</t>
  </si>
  <si>
    <t xml:space="preserve"> EC-ELE-0024 </t>
  </si>
  <si>
    <t xml:space="preserve">  Urban Field Studio Webcam - White  </t>
  </si>
  <si>
    <t xml:space="preserve"> urban field </t>
  </si>
  <si>
    <t>21.93 GBP</t>
  </si>
  <si>
    <t>electronics</t>
  </si>
  <si>
    <t>ec-pet-0029</t>
  </si>
  <si>
    <t xml:space="preserve"> kindred </t>
  </si>
  <si>
    <t xml:space="preserve">  Oak &amp; Ember Everyday Desk Organiser  </t>
  </si>
  <si>
    <t>155.32 GBP</t>
  </si>
  <si>
    <t xml:space="preserve"> EC-ELE-0036 </t>
  </si>
  <si>
    <t xml:space="preserve"> Everwell Supply </t>
  </si>
  <si>
    <t>41.86 GBP</t>
  </si>
  <si>
    <t>lds-b1</t>
  </si>
  <si>
    <t>ec-ele-0043</t>
  </si>
  <si>
    <t xml:space="preserve"> EC-ELE-0045 </t>
  </si>
  <si>
    <t xml:space="preserve"> Dovetail Trading Co. </t>
  </si>
  <si>
    <t>197.62 GBP</t>
  </si>
  <si>
    <t>ec-ele-0053</t>
  </si>
  <si>
    <t>8.62 GBP</t>
  </si>
  <si>
    <t xml:space="preserve">  Harbour &amp; Hill Studio Facial Cleanser - Graphite  </t>
  </si>
  <si>
    <t>ec-bea-0063</t>
  </si>
  <si>
    <t>man-a1</t>
  </si>
  <si>
    <t>ec-kit-0068</t>
  </si>
  <si>
    <t xml:space="preserve"> EC-ELE-0069 </t>
  </si>
  <si>
    <t xml:space="preserve"> Harbour Stockists </t>
  </si>
  <si>
    <t>gla-a2</t>
  </si>
  <si>
    <t>ec-ele-0070</t>
  </si>
  <si>
    <t xml:space="preserve">  PixelWorks Plus Bluetooth Speaker  </t>
  </si>
  <si>
    <t xml:space="preserve"> EC-ELE-0071 </t>
  </si>
  <si>
    <t xml:space="preserve">  Oak &amp; Ember Everyday Mechanical Keyboard  </t>
  </si>
  <si>
    <t xml:space="preserve"> cedar lane </t>
  </si>
  <si>
    <t xml:space="preserve"> EC-GAR-0075 </t>
  </si>
  <si>
    <t xml:space="preserve"> EC-HEA-0078 </t>
  </si>
  <si>
    <t xml:space="preserve"> EC-APP-0081 </t>
  </si>
  <si>
    <t xml:space="preserve"> EC-ELE-0085 </t>
  </si>
  <si>
    <t xml:space="preserve"> Juniper Merchants </t>
  </si>
  <si>
    <t>accessories</t>
  </si>
  <si>
    <t>26.89 GBP</t>
  </si>
  <si>
    <t>travel</t>
  </si>
  <si>
    <t>181.15 GBP</t>
  </si>
  <si>
    <t xml:space="preserve"> EC-HOM-0097 </t>
  </si>
  <si>
    <t xml:space="preserve"> EVERYDAY CO. </t>
  </si>
  <si>
    <t>130.88 GBP</t>
  </si>
  <si>
    <t xml:space="preserve">  Cedar Lane Plus Coffee Grinder - Graphite  </t>
  </si>
  <si>
    <t xml:space="preserve"> CEDAR LANE </t>
  </si>
  <si>
    <t xml:space="preserve">  Nova Supply Studio Laptop Stand  </t>
  </si>
  <si>
    <t xml:space="preserve"> nova supply </t>
  </si>
  <si>
    <t xml:space="preserve"> Ivory Peak Logistics </t>
  </si>
  <si>
    <t xml:space="preserve">  Cedar Lane Compact Coffee Grinder  </t>
  </si>
  <si>
    <t xml:space="preserve"> EC-BEA-0118 </t>
  </si>
  <si>
    <t xml:space="preserve"> EC-APP-0120 </t>
  </si>
  <si>
    <t xml:space="preserve"> apparel </t>
  </si>
  <si>
    <t>33.99 GBP</t>
  </si>
  <si>
    <t>STATIONERY</t>
  </si>
  <si>
    <t xml:space="preserve">  PixelWorks Essential USB-C Hub  </t>
  </si>
  <si>
    <t>lon-b2</t>
  </si>
  <si>
    <t xml:space="preserve">  Kindred Plus Cat Toy  </t>
  </si>
  <si>
    <t xml:space="preserve">  Nova Supply Travel Bluetooth Speaker - Navy  </t>
  </si>
  <si>
    <t xml:space="preserve"> NORTHSTAR </t>
  </si>
  <si>
    <t xml:space="preserve">  Everyday Co. Plus Shampoo - Blue  </t>
  </si>
  <si>
    <t xml:space="preserve">  Cedar Lane Mini Coffee Grinder  </t>
  </si>
  <si>
    <t>ec-hom-0142</t>
  </si>
  <si>
    <t>119.90 GBP</t>
  </si>
  <si>
    <t xml:space="preserve"> EC-ELE-0148 </t>
  </si>
  <si>
    <t xml:space="preserve"> northstar </t>
  </si>
  <si>
    <t xml:space="preserve"> EC-HOM-0158 </t>
  </si>
  <si>
    <t xml:space="preserve"> URBAN FIELD </t>
  </si>
  <si>
    <t>75.06 GBP</t>
  </si>
  <si>
    <t>fitness</t>
  </si>
  <si>
    <t xml:space="preserve">  PixelWorks Mini LED Strip Lights  </t>
  </si>
  <si>
    <t>ec-acc-0173</t>
  </si>
  <si>
    <t xml:space="preserve">  Everyday Co. Pro First Aid Kit  </t>
  </si>
  <si>
    <t>health</t>
  </si>
  <si>
    <t xml:space="preserve"> EC-ACC-0176 </t>
  </si>
  <si>
    <t xml:space="preserve">  Oak &amp; Ember Compact Phone Case  </t>
  </si>
  <si>
    <t xml:space="preserve"> oak &amp; ember </t>
  </si>
  <si>
    <t xml:space="preserve">  Nova Supply Mini Power Bank - Natural  </t>
  </si>
  <si>
    <t>ec-fit-0186</t>
  </si>
  <si>
    <t xml:space="preserve"> Foxbridge Partners </t>
  </si>
  <si>
    <t xml:space="preserve"> OAK &amp; EMBER </t>
  </si>
  <si>
    <t>ec-hom-0200</t>
  </si>
  <si>
    <t xml:space="preserve">  Kindred Travel Ergonomic Chair - Blue  </t>
  </si>
  <si>
    <t xml:space="preserve"> Greenway Goods </t>
  </si>
  <si>
    <t xml:space="preserve"> brightline </t>
  </si>
  <si>
    <t xml:space="preserve"> everyday co. </t>
  </si>
  <si>
    <t xml:space="preserve"> EC-FIT-0215 </t>
  </si>
  <si>
    <t xml:space="preserve"> kite &amp; key </t>
  </si>
  <si>
    <t>ec-bea-0217</t>
  </si>
  <si>
    <t>ec-bea-0219</t>
  </si>
  <si>
    <t>not recorded</t>
  </si>
  <si>
    <t xml:space="preserve"> PIXELWORKS </t>
  </si>
  <si>
    <t>Home and office</t>
  </si>
  <si>
    <t xml:space="preserve"> pixelworks </t>
  </si>
  <si>
    <t xml:space="preserve">  Harbour Stockists </t>
  </si>
  <si>
    <t>Brand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</si>
</sst>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£&quot;#,##0.00;[Red]\-&quot;£&quot;#,##0.00"/>
    <numFmt numFmtId="164" formatCode="&quot;£&quot;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8" fontId="0" fillId="0" borderId="0" xfId="0" applyNumberFormat="1"/>
    <xf numFmtId="0" fontId="1" fillId="0" borderId="0" xfId="0" applyFont="1"/>
    <xf numFmtId="164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18">
    <dxf>
      <numFmt numFmtId="19" formatCode="dd/mm/yyyy"/>
    </dxf>
    <dxf>
      <numFmt numFmtId="0" formatCode="General"/>
    </dxf>
    <dxf>
      <numFmt numFmtId="1" formatCode="0"/>
    </dxf>
    <dxf>
      <numFmt numFmtId="1" formatCode="0"/>
    </dxf>
    <dxf>
      <numFmt numFmtId="164" formatCode="&quot;£&quot;#,##0.00"/>
    </dxf>
    <dxf>
      <numFmt numFmtId="164" formatCode="&quot;£&quot;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£&quot;#,##0.00"/>
    </dxf>
    <dxf>
      <numFmt numFmtId="19" formatCode="dd/mm/yyyy"/>
    </dxf>
    <dxf>
      <numFmt numFmtId="1" formatCode="0"/>
    </dxf>
    <dxf>
      <numFmt numFmtId="1" formatCode="0"/>
    </dxf>
    <dxf>
      <numFmt numFmtId="164" formatCode="&quot;£&quot;#,##0.00"/>
    </dxf>
    <dxf>
      <numFmt numFmtId="164" formatCode="&quot;£&quot;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3F07DFB-D9AF-4E71-A1CC-91AE1BCA9B9B}" name="Table3" displayName="Table3" ref="A1:N221" totalsRowShown="0">
  <autoFilter ref="A1:N221" xr:uid="{03F07DFB-D9AF-4E71-A1CC-91AE1BCA9B9B}"/>
  <tableColumns count="14">
    <tableColumn id="1" xr3:uid="{C73AB0BB-5D38-4A32-BDF1-16836BB07B67}" name="Product ID"/>
    <tableColumn id="3" xr3:uid="{8512D571-993D-49D6-9F8D-999F9B9BFB1F}" name="SKU"/>
    <tableColumn id="5" xr3:uid="{954C1CE3-2F6D-496F-8754-FC0F883F1C97}" name="Product"/>
    <tableColumn id="7" xr3:uid="{D59181A4-79D9-4079-A8BD-01B2F2F35C63}" name="Category"/>
    <tableColumn id="9" xr3:uid="{EFD1EA53-26AB-4212-928C-7B8BDC7E1758}" name="Brand"/>
    <tableColumn id="11" xr3:uid="{1C524C26-30DE-421B-8773-3EAF117D343E}" name="Supplier"/>
    <tableColumn id="12" xr3:uid="{2860DF7B-3A67-40AB-BBEE-5D76E7131BA4}" name="Unit Cost (£)" dataDxfId="17"/>
    <tableColumn id="14" xr3:uid="{3C837DD1-2E17-44FE-BE1C-6C89EDB8B918}" name="Selling Price (£)" dataDxfId="16"/>
    <tableColumn id="15" xr3:uid="{9A4247CF-3252-4292-BCEE-1B4AD9855EEA}" name="Stock Quantity" dataDxfId="15"/>
    <tableColumn id="16" xr3:uid="{D2DEDC82-B192-4E8A-876E-5627396F3281}" name="Reorder Level" dataDxfId="14"/>
    <tableColumn id="18" xr3:uid="{B10D057E-60FA-45D5-97EF-F380B06480CF}" name="Warehouse Location"/>
    <tableColumn id="19" xr3:uid="{ACDE9B19-DE33-451E-BB9C-B0C4FD80F504}" name="Last Restocked" dataDxfId="13"/>
    <tableColumn id="21" xr3:uid="{3B742E0F-771C-4724-BA5D-26E0520BDF68}" name="Stock Value" dataDxfId="12">
      <calculatedColumnFormula>IF(I2="","Unavailable",G2*I2)</calculatedColumnFormula>
    </tableColumn>
    <tableColumn id="22" xr3:uid="{07C410D0-2618-4590-BD20-F50FEEC8B335}" name="Reorder Flag" dataDxfId="11">
      <calculatedColumnFormula>IF(I2="","Unavailable",IF(I2&lt;=J2,"Reorder","Sufficient Stock"))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1EC75E-DD03-4957-A922-5BB1C6CEBFA9}" name="Table2" displayName="Table2" ref="A1:S221" totalsRowShown="0">
  <autoFilter ref="A1:S221" xr:uid="{B31EC75E-DD03-4957-A922-5BB1C6CEBFA9}"/>
  <tableColumns count="19">
    <tableColumn id="1" xr3:uid="{65AF0E73-7677-4A0D-B95A-F560FC1D5037}" name="product_id"/>
    <tableColumn id="2" xr3:uid="{4AB2097E-8B66-499D-815D-AC8FFBFEA76F}" name="sku"/>
    <tableColumn id="14" xr3:uid="{7F50C5E7-196F-4E67-9597-9B063E856D45}" name="Cleaned sku" dataDxfId="10">
      <calculatedColumnFormula>UPPER(TRIM(B2))</calculatedColumnFormula>
    </tableColumn>
    <tableColumn id="3" xr3:uid="{9D47E443-D96C-471F-8FA5-7DF2C6FF9EED}" name="product_name"/>
    <tableColumn id="15" xr3:uid="{4818BB45-13AB-4CF7-A5BB-07F64085446F}" name="Cleaned product name" dataDxfId="9">
      <calculatedColumnFormula>TRIM(D2)</calculatedColumnFormula>
    </tableColumn>
    <tableColumn id="4" xr3:uid="{5A7BF174-BAA8-413E-87F8-3BD55C2EE551}" name="category"/>
    <tableColumn id="16" xr3:uid="{D8479B76-6627-4CB9-BD4A-7324C421DE92}" name="Cleaned category" dataDxfId="8">
      <calculatedColumnFormula>PROPER(TRIM(F2))</calculatedColumnFormula>
    </tableColumn>
    <tableColumn id="5" xr3:uid="{32653BB1-38DD-455A-8DCB-409EBD4336A3}" name="brand"/>
    <tableColumn id="17" xr3:uid="{9791CCB0-74E9-479E-B208-2BD2CAE41B57}" name="Cleaned brand" dataDxfId="7">
      <calculatedColumnFormula array="1">PROPER(IF(TRIM(H2)&lt;&gt;"",TRIM(H2),IFERROR(INDEX('Brand Reference'!$A$2:$A$13,MATCH(TRUE,ISNUMBER(SEARCH('Brand Reference'!$A$2:$A$13,E2)),0)),"Unknown")))</calculatedColumnFormula>
    </tableColumn>
    <tableColumn id="6" xr3:uid="{537614AA-EFC9-42F1-AE58-32DDC5D2D55A}" name="supplier"/>
    <tableColumn id="18" xr3:uid="{998570C4-8B87-437C-B0CC-32CE0B39B83A}" name="Cleaned supplier" dataDxfId="6">
      <calculatedColumnFormula>IF(J2="","Unknown",TRIM(PROPER(J2)))</calculatedColumnFormula>
    </tableColumn>
    <tableColumn id="7" xr3:uid="{32AAED73-B2A2-437D-B630-C9CDEEB6FF7D}" name="unit_cost_gbp" dataDxfId="5"/>
    <tableColumn id="8" xr3:uid="{3A97E291-E0B4-439E-8420-DB987E6F4DC7}" name="selling_price_gbp"/>
    <tableColumn id="19" xr3:uid="{74E9146C-0132-4848-AB85-DD31B19A7B05}" name="cleaned selling price gbp" dataDxfId="4">
      <calculatedColumnFormula>VALUE(SUBSTITUTE(M2," GBP",""))</calculatedColumnFormula>
    </tableColumn>
    <tableColumn id="9" xr3:uid="{5BF97F53-3E89-41C3-B464-99BE4C80BBD8}" name="stock_quantity" dataDxfId="3"/>
    <tableColumn id="10" xr3:uid="{174842C9-C23E-44F7-9EB1-D5FB47536B1A}" name="reorder_level" dataDxfId="2"/>
    <tableColumn id="11" xr3:uid="{F1F0A925-CD31-4AFA-976F-E5E4A48FD305}" name="warehouse_location"/>
    <tableColumn id="23" xr3:uid="{ECECC624-2006-4528-A10F-9DBD9E5B4A02}" name="cleaned warehouse location" dataDxfId="1">
      <calculatedColumnFormula>UPPER(TRIM(Q2))</calculatedColumnFormula>
    </tableColumn>
    <tableColumn id="12" xr3:uid="{40971370-5411-4AF5-96A4-9228DC0B0073}" name="last_restocked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1B27A-F199-4F96-A404-E1972990AEEC}">
  <dimension ref="A1:N221"/>
  <sheetViews>
    <sheetView workbookViewId="0">
      <selection activeCell="R8" sqref="R8"/>
    </sheetView>
  </sheetViews>
  <sheetFormatPr defaultRowHeight="15"/>
  <cols>
    <col min="1" max="1" width="13.140625" bestFit="1" customWidth="1"/>
    <col min="2" max="2" width="14.140625" bestFit="1" customWidth="1"/>
    <col min="3" max="3" width="30.7109375" bestFit="1" customWidth="1"/>
    <col min="4" max="4" width="19" bestFit="1" customWidth="1"/>
    <col min="5" max="5" width="16.5703125" bestFit="1" customWidth="1"/>
    <col min="6" max="6" width="19.85546875" bestFit="1" customWidth="1"/>
    <col min="7" max="7" width="16.28515625" style="4" bestFit="1" customWidth="1"/>
    <col min="8" max="8" width="25.7109375" style="4" bestFit="1" customWidth="1"/>
    <col min="9" max="9" width="16.85546875" style="6" bestFit="1" customWidth="1"/>
    <col min="10" max="10" width="15.5703125" style="6" bestFit="1" customWidth="1"/>
    <col min="11" max="11" width="29" bestFit="1" customWidth="1"/>
    <col min="12" max="12" width="16.5703125" style="1" bestFit="1" customWidth="1"/>
    <col min="13" max="13" width="13.85546875" bestFit="1" customWidth="1"/>
    <col min="14" max="14" width="14.710937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4" t="s">
        <v>6</v>
      </c>
      <c r="H1" s="4" t="s">
        <v>7</v>
      </c>
      <c r="I1" s="6" t="s">
        <v>8</v>
      </c>
      <c r="J1" s="6" t="s">
        <v>9</v>
      </c>
      <c r="K1" t="s">
        <v>10</v>
      </c>
      <c r="L1" s="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s="4">
        <v>81.099999999999994</v>
      </c>
      <c r="H2" s="4">
        <v>188.36</v>
      </c>
      <c r="I2" s="6">
        <v>215</v>
      </c>
      <c r="J2" s="6">
        <v>40</v>
      </c>
      <c r="K2" t="s">
        <v>20</v>
      </c>
      <c r="L2" s="1">
        <v>46195</v>
      </c>
      <c r="M2" s="4">
        <f t="shared" ref="M2:M65" si="0">IF(I2="","Unavailable",G2*I2)</f>
        <v>17436.5</v>
      </c>
      <c r="N2" t="str">
        <f>IF(I2="","Unavailable",IF(I2&lt;=J2,"Reorder","Sufficient Stock"))</f>
        <v>Sufficient Stock</v>
      </c>
    </row>
    <row r="3" spans="1:14">
      <c r="A3" t="s">
        <v>21</v>
      </c>
      <c r="B3" t="s">
        <v>22</v>
      </c>
      <c r="C3" t="s">
        <v>23</v>
      </c>
      <c r="D3" t="s">
        <v>17</v>
      </c>
      <c r="E3" t="s">
        <v>24</v>
      </c>
      <c r="F3" t="s">
        <v>25</v>
      </c>
      <c r="G3" s="4">
        <v>69.66</v>
      </c>
      <c r="H3" s="4">
        <v>146.54</v>
      </c>
      <c r="I3" s="6">
        <v>160</v>
      </c>
      <c r="J3" s="6">
        <v>15</v>
      </c>
      <c r="K3" t="s">
        <v>26</v>
      </c>
      <c r="M3" s="4">
        <f t="shared" si="0"/>
        <v>11145.599999999999</v>
      </c>
      <c r="N3" t="str">
        <f>IF(I3="","Unavailable",IF(I3&lt;=J3,"Reorder","Sufficient Stock"))</f>
        <v>Sufficient Stock</v>
      </c>
    </row>
    <row r="4" spans="1:14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s="4">
        <v>9.6199999999999992</v>
      </c>
      <c r="H4" s="4">
        <v>18.68</v>
      </c>
      <c r="I4" s="6">
        <v>147</v>
      </c>
      <c r="J4" s="6">
        <v>40</v>
      </c>
      <c r="K4" t="s">
        <v>26</v>
      </c>
      <c r="L4" s="1">
        <v>45580</v>
      </c>
      <c r="M4" s="4">
        <f t="shared" si="0"/>
        <v>1414.1399999999999</v>
      </c>
      <c r="N4" t="str">
        <f>IF(I4="","Unavailable",IF(I4&lt;=J4,"Reorder","Sufficient Stock"))</f>
        <v>Sufficient Stock</v>
      </c>
    </row>
    <row r="5" spans="1:14">
      <c r="A5" t="s">
        <v>33</v>
      </c>
      <c r="B5" t="s">
        <v>34</v>
      </c>
      <c r="C5" t="s">
        <v>35</v>
      </c>
      <c r="D5" t="s">
        <v>36</v>
      </c>
      <c r="E5" t="s">
        <v>18</v>
      </c>
      <c r="F5" t="s">
        <v>37</v>
      </c>
      <c r="G5" s="4">
        <v>75.97</v>
      </c>
      <c r="H5" s="4">
        <v>148.88999999999999</v>
      </c>
      <c r="I5" s="6">
        <v>59</v>
      </c>
      <c r="J5" s="6">
        <v>30</v>
      </c>
      <c r="K5" t="s">
        <v>38</v>
      </c>
      <c r="L5" s="1">
        <v>46297</v>
      </c>
      <c r="M5" s="4">
        <f t="shared" si="0"/>
        <v>4482.2299999999996</v>
      </c>
      <c r="N5" t="str">
        <f>IF(I5="","Unavailable",IF(I5&lt;=J5,"Reorder","Sufficient Stock"))</f>
        <v>Sufficient Stock</v>
      </c>
    </row>
    <row r="6" spans="1:14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32</v>
      </c>
      <c r="G6" s="4">
        <v>4.3</v>
      </c>
      <c r="H6" s="4">
        <v>6.87</v>
      </c>
      <c r="I6" s="6">
        <v>66</v>
      </c>
      <c r="J6" s="6">
        <v>5</v>
      </c>
      <c r="K6" t="s">
        <v>44</v>
      </c>
      <c r="L6" s="1">
        <v>45502</v>
      </c>
      <c r="M6" s="4">
        <f t="shared" si="0"/>
        <v>283.8</v>
      </c>
      <c r="N6" t="str">
        <f>IF(I6="","Unavailable",IF(I6&lt;=J6,"Reorder","Sufficient Stock"))</f>
        <v>Sufficient Stock</v>
      </c>
    </row>
    <row r="7" spans="1:14">
      <c r="A7" t="s">
        <v>45</v>
      </c>
      <c r="B7" t="s">
        <v>46</v>
      </c>
      <c r="C7" t="s">
        <v>47</v>
      </c>
      <c r="D7" t="s">
        <v>30</v>
      </c>
      <c r="E7" t="s">
        <v>48</v>
      </c>
      <c r="F7" t="s">
        <v>49</v>
      </c>
      <c r="G7" s="4">
        <v>40.020000000000003</v>
      </c>
      <c r="H7" s="4">
        <v>74.69</v>
      </c>
      <c r="I7" s="6">
        <v>128</v>
      </c>
      <c r="J7" s="6">
        <v>30</v>
      </c>
      <c r="K7" t="s">
        <v>50</v>
      </c>
      <c r="L7" s="1">
        <v>45922</v>
      </c>
      <c r="M7" s="4">
        <f t="shared" si="0"/>
        <v>5122.5600000000004</v>
      </c>
      <c r="N7" t="str">
        <f>IF(I7="","Unavailable",IF(I7&lt;=J7,"Reorder","Sufficient Stock"))</f>
        <v>Sufficient Stock</v>
      </c>
    </row>
    <row r="8" spans="1:14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19</v>
      </c>
      <c r="G8" s="4">
        <v>24.48</v>
      </c>
      <c r="H8" s="4">
        <v>33.94</v>
      </c>
      <c r="J8" s="6">
        <v>40</v>
      </c>
      <c r="K8" t="s">
        <v>26</v>
      </c>
      <c r="L8" s="1">
        <v>46029</v>
      </c>
      <c r="M8" s="4" t="str">
        <f t="shared" si="0"/>
        <v>Unavailable</v>
      </c>
      <c r="N8" t="str">
        <f>IF(I8="","Unavailable",IF(I8&lt;=J8,"Reorder","Sufficient Stock"))</f>
        <v>Unavailable</v>
      </c>
    </row>
    <row r="9" spans="1:14">
      <c r="A9" t="s">
        <v>56</v>
      </c>
      <c r="B9" t="s">
        <v>57</v>
      </c>
      <c r="C9" t="s">
        <v>58</v>
      </c>
      <c r="D9" t="s">
        <v>54</v>
      </c>
      <c r="E9" t="s">
        <v>48</v>
      </c>
      <c r="F9" t="s">
        <v>59</v>
      </c>
      <c r="G9" s="4">
        <v>48.39</v>
      </c>
      <c r="H9" s="4">
        <v>113.62</v>
      </c>
      <c r="I9" s="6">
        <v>148</v>
      </c>
      <c r="J9" s="6">
        <v>25</v>
      </c>
      <c r="K9" t="s">
        <v>44</v>
      </c>
      <c r="L9" s="1">
        <v>46229</v>
      </c>
      <c r="M9" s="4">
        <f t="shared" si="0"/>
        <v>7161.72</v>
      </c>
      <c r="N9" t="str">
        <f>IF(I9="","Unavailable",IF(I9&lt;=J9,"Reorder","Sufficient Stock"))</f>
        <v>Sufficient Stock</v>
      </c>
    </row>
    <row r="10" spans="1:14">
      <c r="A10" t="s">
        <v>60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s="4">
        <v>71.95</v>
      </c>
      <c r="H10" s="4">
        <v>135.05000000000001</v>
      </c>
      <c r="I10" s="6">
        <v>32</v>
      </c>
      <c r="J10" s="6">
        <v>20</v>
      </c>
      <c r="K10" t="s">
        <v>20</v>
      </c>
      <c r="L10" s="1">
        <v>46312</v>
      </c>
      <c r="M10" s="4">
        <f t="shared" si="0"/>
        <v>2302.4</v>
      </c>
      <c r="N10" t="str">
        <f>IF(I10="","Unavailable",IF(I10&lt;=J10,"Reorder","Sufficient Stock"))</f>
        <v>Sufficient Stock</v>
      </c>
    </row>
    <row r="11" spans="1:14">
      <c r="A11" t="s">
        <v>66</v>
      </c>
      <c r="B11" t="s">
        <v>67</v>
      </c>
      <c r="C11" t="s">
        <v>68</v>
      </c>
      <c r="D11" t="s">
        <v>42</v>
      </c>
      <c r="E11" t="s">
        <v>69</v>
      </c>
      <c r="F11" t="s">
        <v>59</v>
      </c>
      <c r="G11" s="4">
        <v>39.56</v>
      </c>
      <c r="H11" s="4">
        <v>77.19</v>
      </c>
      <c r="I11" s="6">
        <v>42</v>
      </c>
      <c r="J11" s="6">
        <v>15</v>
      </c>
      <c r="K11" t="s">
        <v>38</v>
      </c>
      <c r="L11" s="1">
        <v>45799</v>
      </c>
      <c r="M11" s="4">
        <f t="shared" si="0"/>
        <v>1661.52</v>
      </c>
      <c r="N11" t="str">
        <f>IF(I11="","Unavailable",IF(I11&lt;=J11,"Reorder","Sufficient Stock"))</f>
        <v>Sufficient Stock</v>
      </c>
    </row>
    <row r="12" spans="1:14">
      <c r="A12" t="s">
        <v>70</v>
      </c>
      <c r="B12" t="s">
        <v>71</v>
      </c>
      <c r="C12" t="s">
        <v>72</v>
      </c>
      <c r="D12" t="s">
        <v>73</v>
      </c>
      <c r="E12" t="s">
        <v>64</v>
      </c>
      <c r="F12" t="s">
        <v>74</v>
      </c>
      <c r="G12" s="4">
        <v>28.15</v>
      </c>
      <c r="H12" s="4">
        <v>56.06</v>
      </c>
      <c r="I12" s="6">
        <v>251</v>
      </c>
      <c r="J12" s="6">
        <v>12</v>
      </c>
      <c r="K12" t="s">
        <v>38</v>
      </c>
      <c r="M12" s="4">
        <f t="shared" si="0"/>
        <v>7065.65</v>
      </c>
      <c r="N12" t="str">
        <f>IF(I12="","Unavailable",IF(I12&lt;=J12,"Reorder","Sufficient Stock"))</f>
        <v>Sufficient Stock</v>
      </c>
    </row>
    <row r="13" spans="1:14">
      <c r="A13" t="s">
        <v>75</v>
      </c>
      <c r="B13" t="s">
        <v>76</v>
      </c>
      <c r="C13" t="s">
        <v>77</v>
      </c>
      <c r="D13" t="s">
        <v>78</v>
      </c>
      <c r="E13" t="s">
        <v>31</v>
      </c>
      <c r="F13" t="s">
        <v>79</v>
      </c>
      <c r="G13" s="4">
        <v>57.56</v>
      </c>
      <c r="H13" s="4">
        <v>136.91</v>
      </c>
      <c r="I13" s="6">
        <v>156</v>
      </c>
      <c r="J13" s="6">
        <v>30</v>
      </c>
      <c r="K13" t="s">
        <v>38</v>
      </c>
      <c r="L13" s="1">
        <v>46091</v>
      </c>
      <c r="M13" s="4">
        <f t="shared" si="0"/>
        <v>8979.36</v>
      </c>
      <c r="N13" t="str">
        <f>IF(I13="","Unavailable",IF(I13&lt;=J13,"Reorder","Sufficient Stock"))</f>
        <v>Sufficient Stock</v>
      </c>
    </row>
    <row r="14" spans="1:14">
      <c r="A14" t="s">
        <v>80</v>
      </c>
      <c r="B14" t="s">
        <v>81</v>
      </c>
      <c r="C14" t="s">
        <v>82</v>
      </c>
      <c r="D14" t="s">
        <v>30</v>
      </c>
      <c r="E14" t="s">
        <v>83</v>
      </c>
      <c r="F14" t="s">
        <v>49</v>
      </c>
      <c r="G14" s="4">
        <v>6.45</v>
      </c>
      <c r="H14" s="4">
        <v>11.17</v>
      </c>
      <c r="I14" s="6">
        <v>180</v>
      </c>
      <c r="J14" s="6">
        <v>5</v>
      </c>
      <c r="K14" t="s">
        <v>44</v>
      </c>
      <c r="L14" s="1">
        <v>45344</v>
      </c>
      <c r="M14" s="4">
        <f t="shared" si="0"/>
        <v>1161</v>
      </c>
      <c r="N14" t="str">
        <f>IF(I14="","Unavailable",IF(I14&lt;=J14,"Reorder","Sufficient Stock"))</f>
        <v>Sufficient Stock</v>
      </c>
    </row>
    <row r="15" spans="1:14">
      <c r="A15" t="s">
        <v>84</v>
      </c>
      <c r="B15" t="s">
        <v>85</v>
      </c>
      <c r="C15" t="s">
        <v>86</v>
      </c>
      <c r="D15" t="s">
        <v>87</v>
      </c>
      <c r="E15" t="s">
        <v>48</v>
      </c>
      <c r="F15" t="s">
        <v>37</v>
      </c>
      <c r="G15" s="4">
        <v>40.83</v>
      </c>
      <c r="H15" s="4">
        <v>82.9</v>
      </c>
      <c r="I15" s="6">
        <v>87</v>
      </c>
      <c r="J15" s="6">
        <v>12</v>
      </c>
      <c r="K15" t="s">
        <v>38</v>
      </c>
      <c r="L15" s="1">
        <v>45715</v>
      </c>
      <c r="M15" s="4">
        <f t="shared" si="0"/>
        <v>3552.21</v>
      </c>
      <c r="N15" t="str">
        <f>IF(I15="","Unavailable",IF(I15&lt;=J15,"Reorder","Sufficient Stock"))</f>
        <v>Sufficient Stock</v>
      </c>
    </row>
    <row r="16" spans="1:14">
      <c r="A16" t="s">
        <v>88</v>
      </c>
      <c r="B16" t="s">
        <v>89</v>
      </c>
      <c r="C16" t="s">
        <v>90</v>
      </c>
      <c r="D16" t="s">
        <v>54</v>
      </c>
      <c r="E16" t="s">
        <v>43</v>
      </c>
      <c r="F16" t="s">
        <v>74</v>
      </c>
      <c r="G16" s="4">
        <v>5.03</v>
      </c>
      <c r="H16" s="4">
        <v>10.37</v>
      </c>
      <c r="I16" s="6">
        <v>88</v>
      </c>
      <c r="J16" s="6">
        <v>5</v>
      </c>
      <c r="K16" t="s">
        <v>50</v>
      </c>
      <c r="L16" s="1">
        <v>45390</v>
      </c>
      <c r="M16" s="4">
        <f t="shared" si="0"/>
        <v>442.64000000000004</v>
      </c>
      <c r="N16" t="str">
        <f>IF(I16="","Unavailable",IF(I16&lt;=J16,"Reorder","Sufficient Stock"))</f>
        <v>Sufficient Stock</v>
      </c>
    </row>
    <row r="17" spans="1:14">
      <c r="A17" t="s">
        <v>91</v>
      </c>
      <c r="B17" t="s">
        <v>92</v>
      </c>
      <c r="C17" t="s">
        <v>93</v>
      </c>
      <c r="D17" t="s">
        <v>54</v>
      </c>
      <c r="E17" t="s">
        <v>31</v>
      </c>
      <c r="F17" t="s">
        <v>37</v>
      </c>
      <c r="G17" s="4">
        <v>46.08</v>
      </c>
      <c r="H17" s="4">
        <v>102.02</v>
      </c>
      <c r="I17" s="6">
        <v>70</v>
      </c>
      <c r="J17" s="6">
        <v>12</v>
      </c>
      <c r="K17" t="s">
        <v>26</v>
      </c>
      <c r="L17" s="1">
        <v>45672</v>
      </c>
      <c r="M17" s="4">
        <f t="shared" si="0"/>
        <v>3225.6</v>
      </c>
      <c r="N17" t="str">
        <f>IF(I17="","Unavailable",IF(I17&lt;=J17,"Reorder","Sufficient Stock"))</f>
        <v>Sufficient Stock</v>
      </c>
    </row>
    <row r="18" spans="1:14">
      <c r="A18" t="s">
        <v>94</v>
      </c>
      <c r="B18" t="s">
        <v>95</v>
      </c>
      <c r="C18" t="s">
        <v>96</v>
      </c>
      <c r="D18" t="s">
        <v>73</v>
      </c>
      <c r="E18" t="s">
        <v>55</v>
      </c>
      <c r="F18" t="s">
        <v>74</v>
      </c>
      <c r="G18" s="4">
        <v>30.69</v>
      </c>
      <c r="H18" s="4">
        <v>50.33</v>
      </c>
      <c r="I18" s="6">
        <v>254</v>
      </c>
      <c r="J18" s="6">
        <v>30</v>
      </c>
      <c r="K18" t="s">
        <v>97</v>
      </c>
      <c r="L18" s="1">
        <v>45881</v>
      </c>
      <c r="M18" s="4">
        <f t="shared" si="0"/>
        <v>7795.26</v>
      </c>
      <c r="N18" t="str">
        <f>IF(I18="","Unavailable",IF(I18&lt;=J18,"Reorder","Sufficient Stock"))</f>
        <v>Sufficient Stock</v>
      </c>
    </row>
    <row r="19" spans="1:14">
      <c r="A19" t="s">
        <v>98</v>
      </c>
      <c r="B19" t="s">
        <v>99</v>
      </c>
      <c r="C19" t="s">
        <v>100</v>
      </c>
      <c r="D19" t="s">
        <v>63</v>
      </c>
      <c r="E19" t="s">
        <v>48</v>
      </c>
      <c r="F19" t="s">
        <v>101</v>
      </c>
      <c r="G19" s="4">
        <v>45.65</v>
      </c>
      <c r="H19" s="4">
        <v>75.38</v>
      </c>
      <c r="I19" s="6">
        <v>48</v>
      </c>
      <c r="J19" s="6">
        <v>15</v>
      </c>
      <c r="K19" t="s">
        <v>20</v>
      </c>
      <c r="L19" s="1">
        <v>45765</v>
      </c>
      <c r="M19" s="4">
        <f t="shared" si="0"/>
        <v>2191.1999999999998</v>
      </c>
      <c r="N19" t="str">
        <f>IF(I19="","Unavailable",IF(I19&lt;=J19,"Reorder","Sufficient Stock"))</f>
        <v>Sufficient Stock</v>
      </c>
    </row>
    <row r="20" spans="1:14">
      <c r="A20" t="s">
        <v>102</v>
      </c>
      <c r="B20" t="s">
        <v>103</v>
      </c>
      <c r="C20" t="s">
        <v>104</v>
      </c>
      <c r="D20" t="s">
        <v>36</v>
      </c>
      <c r="E20" t="s">
        <v>55</v>
      </c>
      <c r="F20" t="s">
        <v>49</v>
      </c>
      <c r="G20" s="4">
        <v>31.34</v>
      </c>
      <c r="H20" s="4">
        <v>47.71</v>
      </c>
      <c r="I20" s="6">
        <v>110</v>
      </c>
      <c r="J20" s="6">
        <v>10</v>
      </c>
      <c r="K20" t="s">
        <v>38</v>
      </c>
      <c r="L20" s="1">
        <v>45866</v>
      </c>
      <c r="M20" s="4">
        <f t="shared" si="0"/>
        <v>3447.4</v>
      </c>
      <c r="N20" t="str">
        <f>IF(I20="","Unavailable",IF(I20&lt;=J20,"Reorder","Sufficient Stock"))</f>
        <v>Sufficient Stock</v>
      </c>
    </row>
    <row r="21" spans="1:14">
      <c r="A21" t="s">
        <v>105</v>
      </c>
      <c r="B21" t="s">
        <v>106</v>
      </c>
      <c r="C21" t="s">
        <v>107</v>
      </c>
      <c r="D21" t="s">
        <v>30</v>
      </c>
      <c r="E21" t="s">
        <v>43</v>
      </c>
      <c r="F21" t="s">
        <v>79</v>
      </c>
      <c r="G21" s="4">
        <v>48.21</v>
      </c>
      <c r="H21" s="4">
        <v>70.459999999999994</v>
      </c>
      <c r="I21" s="6">
        <v>135</v>
      </c>
      <c r="J21" s="6">
        <v>10</v>
      </c>
      <c r="K21" t="s">
        <v>20</v>
      </c>
      <c r="L21" s="1">
        <v>46185</v>
      </c>
      <c r="M21" s="4">
        <f t="shared" si="0"/>
        <v>6508.35</v>
      </c>
      <c r="N21" t="str">
        <f>IF(I21="","Unavailable",IF(I21&lt;=J21,"Reorder","Sufficient Stock"))</f>
        <v>Sufficient Stock</v>
      </c>
    </row>
    <row r="22" spans="1:14">
      <c r="A22" t="s">
        <v>108</v>
      </c>
      <c r="B22" t="s">
        <v>109</v>
      </c>
      <c r="C22" t="s">
        <v>110</v>
      </c>
      <c r="D22" t="s">
        <v>17</v>
      </c>
      <c r="E22" t="s">
        <v>18</v>
      </c>
      <c r="F22" t="s">
        <v>79</v>
      </c>
      <c r="G22" s="4">
        <v>11</v>
      </c>
      <c r="H22" s="4">
        <v>18.64</v>
      </c>
      <c r="I22" s="6">
        <v>32</v>
      </c>
      <c r="J22" s="6">
        <v>20</v>
      </c>
      <c r="K22" t="s">
        <v>26</v>
      </c>
      <c r="L22" s="1">
        <v>45936</v>
      </c>
      <c r="M22" s="4">
        <f t="shared" si="0"/>
        <v>352</v>
      </c>
      <c r="N22" t="str">
        <f>IF(I22="","Unavailable",IF(I22&lt;=J22,"Reorder","Sufficient Stock"))</f>
        <v>Sufficient Stock</v>
      </c>
    </row>
    <row r="23" spans="1:14">
      <c r="A23" t="s">
        <v>111</v>
      </c>
      <c r="B23" t="s">
        <v>112</v>
      </c>
      <c r="C23" t="s">
        <v>113</v>
      </c>
      <c r="D23" t="s">
        <v>17</v>
      </c>
      <c r="E23" t="s">
        <v>83</v>
      </c>
      <c r="F23" t="s">
        <v>59</v>
      </c>
      <c r="G23" s="4">
        <v>3.48</v>
      </c>
      <c r="H23" s="4">
        <v>5.07</v>
      </c>
      <c r="I23" s="6">
        <v>11</v>
      </c>
      <c r="J23" s="6">
        <v>20</v>
      </c>
      <c r="K23" t="s">
        <v>50</v>
      </c>
      <c r="L23" s="1">
        <v>45543</v>
      </c>
      <c r="M23" s="4">
        <f t="shared" si="0"/>
        <v>38.28</v>
      </c>
      <c r="N23" t="str">
        <f>IF(I23="","Unavailable",IF(I23&lt;=J23,"Reorder","Sufficient Stock"))</f>
        <v>Reorder</v>
      </c>
    </row>
    <row r="24" spans="1:14">
      <c r="A24" t="s">
        <v>114</v>
      </c>
      <c r="B24" t="s">
        <v>115</v>
      </c>
      <c r="C24" t="s">
        <v>116</v>
      </c>
      <c r="D24" t="s">
        <v>117</v>
      </c>
      <c r="E24" t="s">
        <v>18</v>
      </c>
      <c r="F24" t="s">
        <v>32</v>
      </c>
      <c r="G24" s="4">
        <v>56.41</v>
      </c>
      <c r="H24" s="4">
        <v>114.32</v>
      </c>
      <c r="I24" s="6">
        <v>206</v>
      </c>
      <c r="J24" s="6">
        <v>25</v>
      </c>
      <c r="K24" t="s">
        <v>44</v>
      </c>
      <c r="L24" s="1">
        <v>45733</v>
      </c>
      <c r="M24" s="4">
        <f t="shared" si="0"/>
        <v>11620.46</v>
      </c>
      <c r="N24" t="str">
        <f>IF(I24="","Unavailable",IF(I24&lt;=J24,"Reorder","Sufficient Stock"))</f>
        <v>Sufficient Stock</v>
      </c>
    </row>
    <row r="25" spans="1:14">
      <c r="A25" t="s">
        <v>118</v>
      </c>
      <c r="B25" t="s">
        <v>119</v>
      </c>
      <c r="C25" t="s">
        <v>120</v>
      </c>
      <c r="D25" t="s">
        <v>17</v>
      </c>
      <c r="E25" t="s">
        <v>121</v>
      </c>
      <c r="F25" t="s">
        <v>101</v>
      </c>
      <c r="G25" s="4">
        <v>78.69</v>
      </c>
      <c r="H25" s="4">
        <v>139.91</v>
      </c>
      <c r="I25" s="6">
        <v>182</v>
      </c>
      <c r="J25" s="6">
        <v>5</v>
      </c>
      <c r="K25" t="s">
        <v>26</v>
      </c>
      <c r="L25" s="1">
        <v>46186</v>
      </c>
      <c r="M25" s="4">
        <f t="shared" si="0"/>
        <v>14321.58</v>
      </c>
      <c r="N25" t="str">
        <f>IF(I25="","Unavailable",IF(I25&lt;=J25,"Reorder","Sufficient Stock"))</f>
        <v>Sufficient Stock</v>
      </c>
    </row>
    <row r="26" spans="1:14">
      <c r="A26" t="s">
        <v>122</v>
      </c>
      <c r="B26" t="s">
        <v>123</v>
      </c>
      <c r="C26" t="s">
        <v>124</v>
      </c>
      <c r="D26" t="s">
        <v>36</v>
      </c>
      <c r="E26" t="s">
        <v>64</v>
      </c>
      <c r="F26" t="s">
        <v>49</v>
      </c>
      <c r="G26" s="4">
        <v>36.700000000000003</v>
      </c>
      <c r="H26" s="4">
        <v>73.19</v>
      </c>
      <c r="I26" s="6">
        <v>10</v>
      </c>
      <c r="J26" s="6">
        <v>25</v>
      </c>
      <c r="K26" t="s">
        <v>20</v>
      </c>
      <c r="L26" s="1">
        <v>45696</v>
      </c>
      <c r="M26" s="4">
        <f t="shared" si="0"/>
        <v>367</v>
      </c>
      <c r="N26" t="str">
        <f>IF(I26="","Unavailable",IF(I26&lt;=J26,"Reorder","Sufficient Stock"))</f>
        <v>Reorder</v>
      </c>
    </row>
    <row r="27" spans="1:14">
      <c r="A27" t="s">
        <v>125</v>
      </c>
      <c r="B27" t="s">
        <v>126</v>
      </c>
      <c r="C27" t="s">
        <v>127</v>
      </c>
      <c r="D27" t="s">
        <v>17</v>
      </c>
      <c r="E27" t="s">
        <v>69</v>
      </c>
      <c r="F27" t="s">
        <v>32</v>
      </c>
      <c r="G27" s="4">
        <v>12.61</v>
      </c>
      <c r="H27" s="4">
        <v>21.93</v>
      </c>
      <c r="I27" s="6">
        <v>154</v>
      </c>
      <c r="J27" s="6">
        <v>5</v>
      </c>
      <c r="K27" t="s">
        <v>97</v>
      </c>
      <c r="L27" s="1">
        <v>46161</v>
      </c>
      <c r="M27" s="4">
        <f t="shared" si="0"/>
        <v>1941.9399999999998</v>
      </c>
      <c r="N27" t="str">
        <f>IF(I27="","Unavailable",IF(I27&lt;=J27,"Reorder","Sufficient Stock"))</f>
        <v>Sufficient Stock</v>
      </c>
    </row>
    <row r="28" spans="1:14">
      <c r="A28" t="s">
        <v>128</v>
      </c>
      <c r="B28" t="s">
        <v>129</v>
      </c>
      <c r="C28" t="s">
        <v>130</v>
      </c>
      <c r="D28" t="s">
        <v>42</v>
      </c>
      <c r="E28" t="s">
        <v>55</v>
      </c>
      <c r="F28" t="s">
        <v>25</v>
      </c>
      <c r="G28" s="4">
        <v>57.06</v>
      </c>
      <c r="H28" s="4">
        <v>125.67</v>
      </c>
      <c r="I28" s="6">
        <v>93</v>
      </c>
      <c r="J28" s="6">
        <v>5</v>
      </c>
      <c r="K28" t="s">
        <v>97</v>
      </c>
      <c r="L28" s="1">
        <v>46104</v>
      </c>
      <c r="M28" s="4">
        <f t="shared" si="0"/>
        <v>5306.58</v>
      </c>
      <c r="N28" t="str">
        <f>IF(I28="","Unavailable",IF(I28&lt;=J28,"Reorder","Sufficient Stock"))</f>
        <v>Sufficient Stock</v>
      </c>
    </row>
    <row r="29" spans="1:14">
      <c r="A29" t="s">
        <v>131</v>
      </c>
      <c r="B29" t="s">
        <v>132</v>
      </c>
      <c r="C29" t="s">
        <v>133</v>
      </c>
      <c r="D29" t="s">
        <v>17</v>
      </c>
      <c r="E29" t="s">
        <v>83</v>
      </c>
      <c r="F29" t="s">
        <v>49</v>
      </c>
      <c r="G29" s="4">
        <v>24.04</v>
      </c>
      <c r="H29" s="4">
        <v>40.78</v>
      </c>
      <c r="I29" s="6">
        <v>45</v>
      </c>
      <c r="J29" s="6">
        <v>12</v>
      </c>
      <c r="K29" t="s">
        <v>26</v>
      </c>
      <c r="L29" s="1">
        <v>45369</v>
      </c>
      <c r="M29" s="4">
        <f t="shared" si="0"/>
        <v>1081.8</v>
      </c>
      <c r="N29" t="str">
        <f>IF(I29="","Unavailable",IF(I29&lt;=J29,"Reorder","Sufficient Stock"))</f>
        <v>Sufficient Stock</v>
      </c>
    </row>
    <row r="30" spans="1:14">
      <c r="A30" t="s">
        <v>134</v>
      </c>
      <c r="B30" t="s">
        <v>135</v>
      </c>
      <c r="C30" t="s">
        <v>136</v>
      </c>
      <c r="D30" t="s">
        <v>63</v>
      </c>
      <c r="E30" t="s">
        <v>31</v>
      </c>
      <c r="F30" t="s">
        <v>49</v>
      </c>
      <c r="G30" s="4">
        <v>3.14</v>
      </c>
      <c r="H30" s="4">
        <v>7.62</v>
      </c>
      <c r="I30" s="6">
        <v>240</v>
      </c>
      <c r="J30" s="6">
        <v>5</v>
      </c>
      <c r="K30" t="s">
        <v>97</v>
      </c>
      <c r="L30" s="1">
        <v>45746</v>
      </c>
      <c r="M30" s="4">
        <f t="shared" si="0"/>
        <v>753.6</v>
      </c>
      <c r="N30" t="str">
        <f>IF(I30="","Unavailable",IF(I30&lt;=J30,"Reorder","Sufficient Stock"))</f>
        <v>Sufficient Stock</v>
      </c>
    </row>
    <row r="31" spans="1:14">
      <c r="A31" t="s">
        <v>137</v>
      </c>
      <c r="B31" t="s">
        <v>138</v>
      </c>
      <c r="C31" t="s">
        <v>139</v>
      </c>
      <c r="D31" t="s">
        <v>42</v>
      </c>
      <c r="E31" t="s">
        <v>31</v>
      </c>
      <c r="F31" t="s">
        <v>74</v>
      </c>
      <c r="G31" s="4">
        <v>25.03</v>
      </c>
      <c r="H31" s="4">
        <v>57.5</v>
      </c>
      <c r="I31" s="6">
        <v>191</v>
      </c>
      <c r="J31" s="6">
        <v>25</v>
      </c>
      <c r="K31" t="s">
        <v>38</v>
      </c>
      <c r="L31" s="1">
        <v>46232</v>
      </c>
      <c r="M31" s="4">
        <f t="shared" si="0"/>
        <v>4780.7300000000005</v>
      </c>
      <c r="N31" t="str">
        <f>IF(I31="","Unavailable",IF(I31&lt;=J31,"Reorder","Sufficient Stock"))</f>
        <v>Sufficient Stock</v>
      </c>
    </row>
    <row r="32" spans="1:14">
      <c r="A32" t="s">
        <v>140</v>
      </c>
      <c r="B32" t="s">
        <v>141</v>
      </c>
      <c r="C32" t="s">
        <v>142</v>
      </c>
      <c r="D32" t="s">
        <v>30</v>
      </c>
      <c r="E32" t="s">
        <v>64</v>
      </c>
      <c r="F32" t="s">
        <v>79</v>
      </c>
      <c r="G32" s="4">
        <v>14.93</v>
      </c>
      <c r="H32" s="4">
        <v>34.83</v>
      </c>
      <c r="I32" s="6">
        <v>181</v>
      </c>
      <c r="J32" s="6">
        <v>30</v>
      </c>
      <c r="K32" t="s">
        <v>20</v>
      </c>
      <c r="L32" s="1">
        <v>45368</v>
      </c>
      <c r="M32" s="4">
        <f t="shared" si="0"/>
        <v>2702.33</v>
      </c>
      <c r="N32" t="str">
        <f>IF(I32="","Unavailable",IF(I32&lt;=J32,"Reorder","Sufficient Stock"))</f>
        <v>Sufficient Stock</v>
      </c>
    </row>
    <row r="33" spans="1:14">
      <c r="A33" t="s">
        <v>143</v>
      </c>
      <c r="B33" t="s">
        <v>144</v>
      </c>
      <c r="C33" t="s">
        <v>145</v>
      </c>
      <c r="D33" t="s">
        <v>36</v>
      </c>
      <c r="E33" t="s">
        <v>146</v>
      </c>
      <c r="F33" t="s">
        <v>32</v>
      </c>
      <c r="G33" s="4">
        <v>63.43</v>
      </c>
      <c r="H33" s="4">
        <v>155.32</v>
      </c>
      <c r="I33" s="6">
        <v>9</v>
      </c>
      <c r="J33" s="6">
        <v>15</v>
      </c>
      <c r="K33" t="s">
        <v>20</v>
      </c>
      <c r="L33" s="1">
        <v>45920</v>
      </c>
      <c r="M33" s="4">
        <f t="shared" si="0"/>
        <v>570.87</v>
      </c>
      <c r="N33" t="str">
        <f>IF(I33="","Unavailable",IF(I33&lt;=J33,"Reorder","Sufficient Stock"))</f>
        <v>Reorder</v>
      </c>
    </row>
    <row r="34" spans="1:14">
      <c r="A34" t="s">
        <v>147</v>
      </c>
      <c r="B34" t="s">
        <v>148</v>
      </c>
      <c r="C34" t="s">
        <v>149</v>
      </c>
      <c r="D34" t="s">
        <v>30</v>
      </c>
      <c r="E34" t="s">
        <v>146</v>
      </c>
      <c r="F34" t="s">
        <v>25</v>
      </c>
      <c r="G34" s="4">
        <v>10.89</v>
      </c>
      <c r="H34" s="4">
        <v>16.399999999999999</v>
      </c>
      <c r="I34" s="6">
        <v>199</v>
      </c>
      <c r="J34" s="6">
        <v>25</v>
      </c>
      <c r="K34" t="s">
        <v>20</v>
      </c>
      <c r="L34" s="1">
        <v>45827</v>
      </c>
      <c r="M34" s="4">
        <f t="shared" si="0"/>
        <v>2167.11</v>
      </c>
      <c r="N34" t="str">
        <f>IF(I34="","Unavailable",IF(I34&lt;=J34,"Reorder","Sufficient Stock"))</f>
        <v>Sufficient Stock</v>
      </c>
    </row>
    <row r="35" spans="1:14">
      <c r="A35" t="s">
        <v>150</v>
      </c>
      <c r="B35" t="s">
        <v>151</v>
      </c>
      <c r="C35" t="s">
        <v>152</v>
      </c>
      <c r="D35" t="s">
        <v>30</v>
      </c>
      <c r="E35" t="s">
        <v>121</v>
      </c>
      <c r="F35" t="s">
        <v>101</v>
      </c>
      <c r="G35" s="4">
        <v>26.65</v>
      </c>
      <c r="H35" s="4">
        <v>44.35</v>
      </c>
      <c r="I35" s="6">
        <v>68</v>
      </c>
      <c r="J35" s="6">
        <v>30</v>
      </c>
      <c r="K35" t="s">
        <v>38</v>
      </c>
      <c r="L35" s="1">
        <v>45678</v>
      </c>
      <c r="M35" s="4">
        <f t="shared" si="0"/>
        <v>1812.1999999999998</v>
      </c>
      <c r="N35" t="str">
        <f>IF(I35="","Unavailable",IF(I35&lt;=J35,"Reorder","Sufficient Stock"))</f>
        <v>Sufficient Stock</v>
      </c>
    </row>
    <row r="36" spans="1:14">
      <c r="A36" t="s">
        <v>153</v>
      </c>
      <c r="B36" t="s">
        <v>154</v>
      </c>
      <c r="C36" t="s">
        <v>155</v>
      </c>
      <c r="D36" t="s">
        <v>54</v>
      </c>
      <c r="E36" t="s">
        <v>55</v>
      </c>
      <c r="F36" t="s">
        <v>59</v>
      </c>
      <c r="G36" s="4">
        <v>44.94</v>
      </c>
      <c r="H36" s="4">
        <v>69.55</v>
      </c>
      <c r="I36" s="6">
        <v>74</v>
      </c>
      <c r="J36" s="6">
        <v>12</v>
      </c>
      <c r="K36" t="s">
        <v>38</v>
      </c>
      <c r="L36" s="1">
        <v>45350</v>
      </c>
      <c r="M36" s="4">
        <f t="shared" si="0"/>
        <v>3325.56</v>
      </c>
      <c r="N36" t="str">
        <f>IF(I36="","Unavailable",IF(I36&lt;=J36,"Reorder","Sufficient Stock"))</f>
        <v>Sufficient Stock</v>
      </c>
    </row>
    <row r="37" spans="1:14">
      <c r="A37" t="s">
        <v>156</v>
      </c>
      <c r="B37" t="s">
        <v>157</v>
      </c>
      <c r="C37" t="s">
        <v>158</v>
      </c>
      <c r="D37" t="s">
        <v>17</v>
      </c>
      <c r="E37" t="s">
        <v>18</v>
      </c>
      <c r="F37" t="s">
        <v>159</v>
      </c>
      <c r="G37" s="4">
        <v>46.26</v>
      </c>
      <c r="H37" s="4">
        <v>92.96</v>
      </c>
      <c r="I37" s="6">
        <v>127</v>
      </c>
      <c r="J37" s="6">
        <v>12</v>
      </c>
      <c r="K37" t="s">
        <v>44</v>
      </c>
      <c r="L37" s="1">
        <v>45509</v>
      </c>
      <c r="M37" s="4">
        <f t="shared" si="0"/>
        <v>5875.0199999999995</v>
      </c>
      <c r="N37" t="str">
        <f>IF(I37="","Unavailable",IF(I37&lt;=J37,"Reorder","Sufficient Stock"))</f>
        <v>Sufficient Stock</v>
      </c>
    </row>
    <row r="38" spans="1:14">
      <c r="A38" t="s">
        <v>160</v>
      </c>
      <c r="B38" t="s">
        <v>161</v>
      </c>
      <c r="C38" t="s">
        <v>162</v>
      </c>
      <c r="D38" t="s">
        <v>17</v>
      </c>
      <c r="E38" t="s">
        <v>55</v>
      </c>
      <c r="F38" t="s">
        <v>159</v>
      </c>
      <c r="G38" s="4">
        <v>11.93</v>
      </c>
      <c r="H38" s="4">
        <v>22.33</v>
      </c>
      <c r="I38" s="6">
        <v>255</v>
      </c>
      <c r="J38" s="6">
        <v>10</v>
      </c>
      <c r="K38" t="s">
        <v>50</v>
      </c>
      <c r="L38" s="1">
        <v>45797</v>
      </c>
      <c r="M38" s="4">
        <f t="shared" si="0"/>
        <v>3042.15</v>
      </c>
      <c r="N38" t="str">
        <f>IF(I38="","Unavailable",IF(I38&lt;=J38,"Reorder","Sufficient Stock"))</f>
        <v>Sufficient Stock</v>
      </c>
    </row>
    <row r="39" spans="1:14">
      <c r="A39" t="s">
        <v>163</v>
      </c>
      <c r="B39" t="s">
        <v>164</v>
      </c>
      <c r="C39" t="s">
        <v>165</v>
      </c>
      <c r="D39" t="s">
        <v>30</v>
      </c>
      <c r="E39" t="s">
        <v>18</v>
      </c>
      <c r="F39" t="s">
        <v>79</v>
      </c>
      <c r="G39" s="4">
        <v>9.48</v>
      </c>
      <c r="H39" s="4">
        <v>17.96</v>
      </c>
      <c r="I39" s="6">
        <v>159</v>
      </c>
      <c r="J39" s="6">
        <v>20</v>
      </c>
      <c r="K39" t="s">
        <v>26</v>
      </c>
      <c r="L39" s="1">
        <v>45754</v>
      </c>
      <c r="M39" s="4">
        <f t="shared" si="0"/>
        <v>1507.3200000000002</v>
      </c>
      <c r="N39" t="str">
        <f>IF(I39="","Unavailable",IF(I39&lt;=J39,"Reorder","Sufficient Stock"))</f>
        <v>Sufficient Stock</v>
      </c>
    </row>
    <row r="40" spans="1:14">
      <c r="A40" t="s">
        <v>166</v>
      </c>
      <c r="B40" t="s">
        <v>167</v>
      </c>
      <c r="C40" t="s">
        <v>168</v>
      </c>
      <c r="D40" t="s">
        <v>63</v>
      </c>
      <c r="E40" t="s">
        <v>146</v>
      </c>
      <c r="F40" t="s">
        <v>19</v>
      </c>
      <c r="G40" s="4">
        <v>62.13</v>
      </c>
      <c r="H40" s="4">
        <v>142.46</v>
      </c>
      <c r="I40" s="6">
        <v>206</v>
      </c>
      <c r="J40" s="6">
        <v>25</v>
      </c>
      <c r="K40" t="s">
        <v>44</v>
      </c>
      <c r="L40" s="1">
        <v>45653</v>
      </c>
      <c r="M40" s="4">
        <f t="shared" si="0"/>
        <v>12798.78</v>
      </c>
      <c r="N40" t="str">
        <f>IF(I40="","Unavailable",IF(I40&lt;=J40,"Reorder","Sufficient Stock"))</f>
        <v>Sufficient Stock</v>
      </c>
    </row>
    <row r="41" spans="1:14">
      <c r="A41" t="s">
        <v>169</v>
      </c>
      <c r="B41" t="s">
        <v>170</v>
      </c>
      <c r="C41" t="s">
        <v>171</v>
      </c>
      <c r="D41" t="s">
        <v>36</v>
      </c>
      <c r="E41" t="s">
        <v>18</v>
      </c>
      <c r="F41" t="s">
        <v>159</v>
      </c>
      <c r="G41" s="4">
        <v>14.98</v>
      </c>
      <c r="H41" s="4">
        <v>32.47</v>
      </c>
      <c r="I41" s="6">
        <v>65</v>
      </c>
      <c r="J41" s="6">
        <v>30</v>
      </c>
      <c r="K41" t="s">
        <v>20</v>
      </c>
      <c r="L41" s="1">
        <v>45840</v>
      </c>
      <c r="M41" s="4">
        <f t="shared" si="0"/>
        <v>973.7</v>
      </c>
      <c r="N41" t="str">
        <f>IF(I41="","Unavailable",IF(I41&lt;=J41,"Reorder","Sufficient Stock"))</f>
        <v>Sufficient Stock</v>
      </c>
    </row>
    <row r="42" spans="1:14">
      <c r="A42" t="s">
        <v>172</v>
      </c>
      <c r="B42" t="s">
        <v>173</v>
      </c>
      <c r="C42" t="s">
        <v>174</v>
      </c>
      <c r="D42" t="s">
        <v>42</v>
      </c>
      <c r="E42" t="s">
        <v>48</v>
      </c>
      <c r="F42" t="s">
        <v>25</v>
      </c>
      <c r="G42" s="4">
        <v>24.41</v>
      </c>
      <c r="H42" s="4">
        <v>41.86</v>
      </c>
      <c r="I42" s="6">
        <v>73</v>
      </c>
      <c r="J42" s="6">
        <v>10</v>
      </c>
      <c r="K42" t="s">
        <v>38</v>
      </c>
      <c r="L42" s="1">
        <v>45840</v>
      </c>
      <c r="M42" s="4">
        <f t="shared" si="0"/>
        <v>1781.93</v>
      </c>
      <c r="N42" t="str">
        <f>IF(I42="","Unavailable",IF(I42&lt;=J42,"Reorder","Sufficient Stock"))</f>
        <v>Sufficient Stock</v>
      </c>
    </row>
    <row r="43" spans="1:14">
      <c r="A43" t="s">
        <v>175</v>
      </c>
      <c r="B43" t="s">
        <v>176</v>
      </c>
      <c r="C43" t="s">
        <v>177</v>
      </c>
      <c r="D43" t="s">
        <v>42</v>
      </c>
      <c r="E43" t="s">
        <v>55</v>
      </c>
      <c r="F43" t="s">
        <v>159</v>
      </c>
      <c r="G43" s="4">
        <v>58.02</v>
      </c>
      <c r="H43" s="4">
        <v>99.82</v>
      </c>
      <c r="I43" s="6">
        <v>253</v>
      </c>
      <c r="J43" s="6">
        <v>15</v>
      </c>
      <c r="K43" t="s">
        <v>50</v>
      </c>
      <c r="L43" s="1">
        <v>46161</v>
      </c>
      <c r="M43" s="4">
        <f t="shared" si="0"/>
        <v>14679.060000000001</v>
      </c>
      <c r="N43" t="str">
        <f>IF(I43="","Unavailable",IF(I43&lt;=J43,"Reorder","Sufficient Stock"))</f>
        <v>Sufficient Stock</v>
      </c>
    </row>
    <row r="44" spans="1:14">
      <c r="A44" t="s">
        <v>178</v>
      </c>
      <c r="B44" t="s">
        <v>179</v>
      </c>
      <c r="C44" t="s">
        <v>180</v>
      </c>
      <c r="D44" t="s">
        <v>17</v>
      </c>
      <c r="E44" t="s">
        <v>55</v>
      </c>
      <c r="F44" t="s">
        <v>74</v>
      </c>
      <c r="G44" s="4">
        <v>48.48</v>
      </c>
      <c r="H44" s="4">
        <v>78.900000000000006</v>
      </c>
      <c r="I44" s="6">
        <v>171</v>
      </c>
      <c r="J44" s="6">
        <v>30</v>
      </c>
      <c r="K44" t="s">
        <v>26</v>
      </c>
      <c r="L44" s="1">
        <v>46266</v>
      </c>
      <c r="M44" s="4">
        <f t="shared" si="0"/>
        <v>8290.08</v>
      </c>
      <c r="N44" t="str">
        <f>IF(I44="","Unavailable",IF(I44&lt;=J44,"Reorder","Sufficient Stock"))</f>
        <v>Sufficient Stock</v>
      </c>
    </row>
    <row r="45" spans="1:14">
      <c r="A45" t="s">
        <v>181</v>
      </c>
      <c r="B45" t="s">
        <v>182</v>
      </c>
      <c r="C45" t="s">
        <v>183</v>
      </c>
      <c r="D45" t="s">
        <v>17</v>
      </c>
      <c r="E45" t="s">
        <v>184</v>
      </c>
      <c r="F45" t="s">
        <v>65</v>
      </c>
      <c r="G45" s="4">
        <v>80.2</v>
      </c>
      <c r="H45" s="4">
        <v>137.08000000000001</v>
      </c>
      <c r="I45" s="6">
        <v>107</v>
      </c>
      <c r="J45" s="6">
        <v>40</v>
      </c>
      <c r="K45" t="s">
        <v>50</v>
      </c>
      <c r="L45" s="1">
        <v>45859</v>
      </c>
      <c r="M45" s="4">
        <f t="shared" si="0"/>
        <v>8581.4</v>
      </c>
      <c r="N45" t="str">
        <f>IF(I45="","Unavailable",IF(I45&lt;=J45,"Reorder","Sufficient Stock"))</f>
        <v>Sufficient Stock</v>
      </c>
    </row>
    <row r="46" spans="1:14">
      <c r="A46" t="s">
        <v>185</v>
      </c>
      <c r="B46" t="s">
        <v>186</v>
      </c>
      <c r="C46" t="s">
        <v>187</v>
      </c>
      <c r="D46" t="s">
        <v>17</v>
      </c>
      <c r="E46" t="s">
        <v>146</v>
      </c>
      <c r="F46" t="s">
        <v>19</v>
      </c>
      <c r="G46" s="4">
        <v>3.14</v>
      </c>
      <c r="H46" s="4">
        <v>4.57</v>
      </c>
      <c r="I46" s="6">
        <v>168</v>
      </c>
      <c r="J46" s="6">
        <v>15</v>
      </c>
      <c r="K46" t="s">
        <v>38</v>
      </c>
      <c r="L46" s="1">
        <v>46241</v>
      </c>
      <c r="M46" s="4">
        <f t="shared" si="0"/>
        <v>527.52</v>
      </c>
      <c r="N46" t="str">
        <f>IF(I46="","Unavailable",IF(I46&lt;=J46,"Reorder","Sufficient Stock"))</f>
        <v>Sufficient Stock</v>
      </c>
    </row>
    <row r="47" spans="1:14">
      <c r="A47" t="s">
        <v>188</v>
      </c>
      <c r="B47" t="s">
        <v>189</v>
      </c>
      <c r="C47" t="s">
        <v>190</v>
      </c>
      <c r="D47" t="s">
        <v>191</v>
      </c>
      <c r="E47" t="s">
        <v>31</v>
      </c>
      <c r="F47" t="s">
        <v>65</v>
      </c>
      <c r="G47" s="4">
        <v>61.14</v>
      </c>
      <c r="H47" s="4">
        <v>128.35</v>
      </c>
      <c r="I47" s="6">
        <v>68</v>
      </c>
      <c r="J47" s="6">
        <v>10</v>
      </c>
      <c r="K47" t="s">
        <v>44</v>
      </c>
      <c r="L47" s="1">
        <v>45349</v>
      </c>
      <c r="M47" s="4">
        <f t="shared" si="0"/>
        <v>4157.5200000000004</v>
      </c>
      <c r="N47" t="str">
        <f>IF(I47="","Unavailable",IF(I47&lt;=J47,"Reorder","Sufficient Stock"))</f>
        <v>Sufficient Stock</v>
      </c>
    </row>
    <row r="48" spans="1:14">
      <c r="A48" t="s">
        <v>192</v>
      </c>
      <c r="B48" t="s">
        <v>193</v>
      </c>
      <c r="C48" t="s">
        <v>194</v>
      </c>
      <c r="D48" t="s">
        <v>191</v>
      </c>
      <c r="E48" t="s">
        <v>146</v>
      </c>
      <c r="F48" t="s">
        <v>159</v>
      </c>
      <c r="G48" s="4">
        <v>84.04</v>
      </c>
      <c r="H48" s="4">
        <v>197.62</v>
      </c>
      <c r="I48" s="6">
        <v>174</v>
      </c>
      <c r="J48" s="6">
        <v>25</v>
      </c>
      <c r="K48" t="s">
        <v>38</v>
      </c>
      <c r="L48" s="1">
        <v>46003</v>
      </c>
      <c r="M48" s="4">
        <f t="shared" si="0"/>
        <v>14622.960000000001</v>
      </c>
      <c r="N48" t="str">
        <f>IF(I48="","Unavailable",IF(I48&lt;=J48,"Reorder","Sufficient Stock"))</f>
        <v>Sufficient Stock</v>
      </c>
    </row>
    <row r="49" spans="1:14">
      <c r="A49" t="s">
        <v>195</v>
      </c>
      <c r="B49" t="s">
        <v>196</v>
      </c>
      <c r="C49" t="s">
        <v>197</v>
      </c>
      <c r="D49" t="s">
        <v>198</v>
      </c>
      <c r="E49" t="s">
        <v>48</v>
      </c>
      <c r="F49" t="s">
        <v>19</v>
      </c>
      <c r="G49" s="4">
        <v>42.77</v>
      </c>
      <c r="H49" s="4">
        <v>58.76</v>
      </c>
      <c r="I49" s="6">
        <v>187</v>
      </c>
      <c r="J49" s="6">
        <v>20</v>
      </c>
      <c r="K49" t="s">
        <v>26</v>
      </c>
      <c r="L49" s="1">
        <v>46246</v>
      </c>
      <c r="M49" s="4">
        <f t="shared" si="0"/>
        <v>7997.9900000000007</v>
      </c>
      <c r="N49" t="str">
        <f>IF(I49="","Unavailable",IF(I49&lt;=J49,"Reorder","Sufficient Stock"))</f>
        <v>Sufficient Stock</v>
      </c>
    </row>
    <row r="50" spans="1:14">
      <c r="A50" t="s">
        <v>199</v>
      </c>
      <c r="B50" t="s">
        <v>200</v>
      </c>
      <c r="C50" t="s">
        <v>201</v>
      </c>
      <c r="D50" t="s">
        <v>63</v>
      </c>
      <c r="E50" t="s">
        <v>31</v>
      </c>
      <c r="F50" t="s">
        <v>32</v>
      </c>
      <c r="G50" s="4">
        <v>6.69</v>
      </c>
      <c r="H50" s="4">
        <v>12.06</v>
      </c>
      <c r="I50" s="6">
        <v>33</v>
      </c>
      <c r="J50" s="6">
        <v>20</v>
      </c>
      <c r="K50" t="s">
        <v>20</v>
      </c>
      <c r="L50" s="1">
        <v>46280</v>
      </c>
      <c r="M50" s="4">
        <f t="shared" si="0"/>
        <v>220.77</v>
      </c>
      <c r="N50" t="str">
        <f>IF(I50="","Unavailable",IF(I50&lt;=J50,"Reorder","Sufficient Stock"))</f>
        <v>Sufficient Stock</v>
      </c>
    </row>
    <row r="51" spans="1:14">
      <c r="A51" t="s">
        <v>202</v>
      </c>
      <c r="B51" t="s">
        <v>203</v>
      </c>
      <c r="C51" t="s">
        <v>204</v>
      </c>
      <c r="D51" t="s">
        <v>63</v>
      </c>
      <c r="E51" t="s">
        <v>43</v>
      </c>
      <c r="F51" t="s">
        <v>59</v>
      </c>
      <c r="G51" s="4">
        <v>30.32</v>
      </c>
      <c r="H51" s="4">
        <v>46.97</v>
      </c>
      <c r="I51" s="6">
        <v>89</v>
      </c>
      <c r="J51" s="6">
        <v>20</v>
      </c>
      <c r="K51" t="s">
        <v>38</v>
      </c>
      <c r="L51" s="1">
        <v>46076</v>
      </c>
      <c r="M51" s="4">
        <f t="shared" si="0"/>
        <v>2698.48</v>
      </c>
      <c r="N51" t="str">
        <f>IF(I51="","Unavailable",IF(I51&lt;=J51,"Reorder","Sufficient Stock"))</f>
        <v>Sufficient Stock</v>
      </c>
    </row>
    <row r="52" spans="1:14">
      <c r="A52" t="s">
        <v>205</v>
      </c>
      <c r="B52" t="s">
        <v>206</v>
      </c>
      <c r="C52" t="s">
        <v>207</v>
      </c>
      <c r="D52" t="s">
        <v>17</v>
      </c>
      <c r="E52" t="s">
        <v>48</v>
      </c>
      <c r="F52" t="s">
        <v>79</v>
      </c>
      <c r="G52" s="4">
        <v>73.03</v>
      </c>
      <c r="H52" s="4">
        <v>108.75</v>
      </c>
      <c r="I52" s="6">
        <v>108</v>
      </c>
      <c r="J52" s="6">
        <v>20</v>
      </c>
      <c r="K52" t="s">
        <v>38</v>
      </c>
      <c r="L52" s="1">
        <v>46292</v>
      </c>
      <c r="M52" s="4">
        <f t="shared" si="0"/>
        <v>7887.24</v>
      </c>
      <c r="N52" t="str">
        <f>IF(I52="","Unavailable",IF(I52&lt;=J52,"Reorder","Sufficient Stock"))</f>
        <v>Sufficient Stock</v>
      </c>
    </row>
    <row r="53" spans="1:14">
      <c r="A53" t="s">
        <v>208</v>
      </c>
      <c r="B53" t="s">
        <v>209</v>
      </c>
      <c r="C53" t="s">
        <v>210</v>
      </c>
      <c r="D53" t="s">
        <v>87</v>
      </c>
      <c r="E53" t="s">
        <v>18</v>
      </c>
      <c r="F53" t="s">
        <v>32</v>
      </c>
      <c r="G53" s="4">
        <v>62.33</v>
      </c>
      <c r="H53" s="4">
        <v>97.11</v>
      </c>
      <c r="I53" s="6">
        <v>78</v>
      </c>
      <c r="J53" s="6">
        <v>12</v>
      </c>
      <c r="K53" t="s">
        <v>20</v>
      </c>
      <c r="L53" s="1">
        <v>45560</v>
      </c>
      <c r="M53" s="4">
        <f t="shared" si="0"/>
        <v>4861.74</v>
      </c>
      <c r="N53" t="str">
        <f>IF(I53="","Unavailable",IF(I53&lt;=J53,"Reorder","Sufficient Stock"))</f>
        <v>Sufficient Stock</v>
      </c>
    </row>
    <row r="54" spans="1:14">
      <c r="A54" t="s">
        <v>211</v>
      </c>
      <c r="B54" t="s">
        <v>212</v>
      </c>
      <c r="C54" t="s">
        <v>213</v>
      </c>
      <c r="D54" t="s">
        <v>17</v>
      </c>
      <c r="E54" t="s">
        <v>64</v>
      </c>
      <c r="F54" t="s">
        <v>79</v>
      </c>
      <c r="G54" s="4">
        <v>81.94</v>
      </c>
      <c r="H54" s="4">
        <v>173.08</v>
      </c>
      <c r="I54" s="6">
        <v>65</v>
      </c>
      <c r="J54" s="6">
        <v>40</v>
      </c>
      <c r="K54" t="s">
        <v>50</v>
      </c>
      <c r="L54" s="1">
        <v>45636</v>
      </c>
      <c r="M54" s="4">
        <f t="shared" si="0"/>
        <v>5326.0999999999995</v>
      </c>
      <c r="N54" t="str">
        <f>IF(I54="","Unavailable",IF(I54&lt;=J54,"Reorder","Sufficient Stock"))</f>
        <v>Sufficient Stock</v>
      </c>
    </row>
    <row r="55" spans="1:14">
      <c r="A55" t="s">
        <v>214</v>
      </c>
      <c r="B55" t="s">
        <v>215</v>
      </c>
      <c r="C55" t="s">
        <v>216</v>
      </c>
      <c r="D55" t="s">
        <v>191</v>
      </c>
      <c r="E55" t="s">
        <v>121</v>
      </c>
      <c r="F55" t="s">
        <v>49</v>
      </c>
      <c r="G55" s="4">
        <v>42.75</v>
      </c>
      <c r="H55" s="4">
        <v>83.39</v>
      </c>
      <c r="I55" s="6">
        <v>14</v>
      </c>
      <c r="J55" s="6">
        <v>20</v>
      </c>
      <c r="K55" t="s">
        <v>26</v>
      </c>
      <c r="L55" s="1">
        <v>45744</v>
      </c>
      <c r="M55" s="4">
        <f t="shared" si="0"/>
        <v>598.5</v>
      </c>
      <c r="N55" t="str">
        <f>IF(I55="","Unavailable",IF(I55&lt;=J55,"Reorder","Sufficient Stock"))</f>
        <v>Reorder</v>
      </c>
    </row>
    <row r="56" spans="1:14">
      <c r="A56" t="s">
        <v>217</v>
      </c>
      <c r="B56" t="s">
        <v>218</v>
      </c>
      <c r="C56" t="s">
        <v>219</v>
      </c>
      <c r="D56" t="s">
        <v>17</v>
      </c>
      <c r="E56" t="s">
        <v>48</v>
      </c>
      <c r="F56" t="s">
        <v>101</v>
      </c>
      <c r="G56" s="4">
        <v>29.07</v>
      </c>
      <c r="H56" s="4">
        <v>62.1</v>
      </c>
      <c r="I56" s="6">
        <v>20</v>
      </c>
      <c r="J56" s="6">
        <v>40</v>
      </c>
      <c r="K56" t="s">
        <v>20</v>
      </c>
      <c r="M56" s="4">
        <f t="shared" si="0"/>
        <v>581.4</v>
      </c>
      <c r="N56" t="str">
        <f>IF(I56="","Unavailable",IF(I56&lt;=J56,"Reorder","Sufficient Stock"))</f>
        <v>Reorder</v>
      </c>
    </row>
    <row r="57" spans="1:14">
      <c r="A57" t="s">
        <v>220</v>
      </c>
      <c r="B57" t="s">
        <v>221</v>
      </c>
      <c r="C57" t="s">
        <v>222</v>
      </c>
      <c r="D57" t="s">
        <v>30</v>
      </c>
      <c r="E57" t="s">
        <v>31</v>
      </c>
      <c r="F57" t="s">
        <v>19</v>
      </c>
      <c r="G57" s="4">
        <v>4.53</v>
      </c>
      <c r="H57" s="4">
        <v>8.6199999999999992</v>
      </c>
      <c r="I57" s="6">
        <v>46</v>
      </c>
      <c r="J57" s="6">
        <v>30</v>
      </c>
      <c r="K57" t="s">
        <v>97</v>
      </c>
      <c r="L57" s="1">
        <v>46179</v>
      </c>
      <c r="M57" s="4">
        <f t="shared" si="0"/>
        <v>208.38000000000002</v>
      </c>
      <c r="N57" t="str">
        <f>IF(I57="","Unavailable",IF(I57&lt;=J57,"Reorder","Sufficient Stock"))</f>
        <v>Sufficient Stock</v>
      </c>
    </row>
    <row r="58" spans="1:14">
      <c r="A58" t="s">
        <v>223</v>
      </c>
      <c r="B58" t="s">
        <v>224</v>
      </c>
      <c r="C58" t="s">
        <v>225</v>
      </c>
      <c r="D58" t="s">
        <v>198</v>
      </c>
      <c r="E58" t="s">
        <v>121</v>
      </c>
      <c r="F58" t="s">
        <v>19</v>
      </c>
      <c r="G58" s="4">
        <v>46.57</v>
      </c>
      <c r="H58" s="4">
        <v>107.46</v>
      </c>
      <c r="I58" s="6">
        <v>216</v>
      </c>
      <c r="J58" s="6">
        <v>40</v>
      </c>
      <c r="K58" t="s">
        <v>26</v>
      </c>
      <c r="L58" s="1">
        <v>46035</v>
      </c>
      <c r="M58" s="4">
        <f t="shared" si="0"/>
        <v>10059.120000000001</v>
      </c>
      <c r="N58" t="str">
        <f>IF(I58="","Unavailable",IF(I58&lt;=J58,"Reorder","Sufficient Stock"))</f>
        <v>Sufficient Stock</v>
      </c>
    </row>
    <row r="59" spans="1:14">
      <c r="A59" t="s">
        <v>226</v>
      </c>
      <c r="B59" t="s">
        <v>227</v>
      </c>
      <c r="C59" t="s">
        <v>228</v>
      </c>
      <c r="D59" t="s">
        <v>42</v>
      </c>
      <c r="E59" t="s">
        <v>146</v>
      </c>
      <c r="F59" t="s">
        <v>32</v>
      </c>
      <c r="G59" s="4">
        <v>76.47</v>
      </c>
      <c r="H59" s="4">
        <v>165.4</v>
      </c>
      <c r="I59" s="6">
        <v>59</v>
      </c>
      <c r="J59" s="6">
        <v>10</v>
      </c>
      <c r="K59" t="s">
        <v>50</v>
      </c>
      <c r="L59" s="1">
        <v>46016</v>
      </c>
      <c r="M59" s="4">
        <f t="shared" si="0"/>
        <v>4511.7299999999996</v>
      </c>
      <c r="N59" t="str">
        <f>IF(I59="","Unavailable",IF(I59&lt;=J59,"Reorder","Sufficient Stock"))</f>
        <v>Sufficient Stock</v>
      </c>
    </row>
    <row r="60" spans="1:14">
      <c r="A60" t="s">
        <v>229</v>
      </c>
      <c r="B60" t="s">
        <v>230</v>
      </c>
      <c r="C60" t="s">
        <v>231</v>
      </c>
      <c r="D60" t="s">
        <v>17</v>
      </c>
      <c r="E60" t="s">
        <v>69</v>
      </c>
      <c r="F60" t="s">
        <v>25</v>
      </c>
      <c r="G60" s="4">
        <v>80.69</v>
      </c>
      <c r="H60" s="4">
        <v>196.18</v>
      </c>
      <c r="I60" s="6">
        <v>15</v>
      </c>
      <c r="J60" s="6">
        <v>12</v>
      </c>
      <c r="K60" t="s">
        <v>50</v>
      </c>
      <c r="L60" s="1">
        <v>45842</v>
      </c>
      <c r="M60" s="4">
        <f t="shared" si="0"/>
        <v>1210.3499999999999</v>
      </c>
      <c r="N60" t="str">
        <f>IF(I60="","Unavailable",IF(I60&lt;=J60,"Reorder","Sufficient Stock"))</f>
        <v>Sufficient Stock</v>
      </c>
    </row>
    <row r="61" spans="1:14">
      <c r="A61" t="s">
        <v>232</v>
      </c>
      <c r="B61" t="s">
        <v>233</v>
      </c>
      <c r="C61" t="s">
        <v>234</v>
      </c>
      <c r="D61" t="s">
        <v>42</v>
      </c>
      <c r="E61" t="s">
        <v>83</v>
      </c>
      <c r="F61" t="s">
        <v>49</v>
      </c>
      <c r="G61" s="4">
        <v>24.81</v>
      </c>
      <c r="H61" s="4">
        <v>43.16</v>
      </c>
      <c r="I61" s="6">
        <v>70</v>
      </c>
      <c r="J61" s="6">
        <v>10</v>
      </c>
      <c r="K61" t="s">
        <v>97</v>
      </c>
      <c r="L61" s="1">
        <v>45586</v>
      </c>
      <c r="M61" s="4">
        <f t="shared" si="0"/>
        <v>1736.6999999999998</v>
      </c>
      <c r="N61" t="str">
        <f>IF(I61="","Unavailable",IF(I61&lt;=J61,"Reorder","Sufficient Stock"))</f>
        <v>Sufficient Stock</v>
      </c>
    </row>
    <row r="62" spans="1:14">
      <c r="A62" t="s">
        <v>235</v>
      </c>
      <c r="B62" t="s">
        <v>236</v>
      </c>
      <c r="C62" t="s">
        <v>237</v>
      </c>
      <c r="D62" t="s">
        <v>54</v>
      </c>
      <c r="E62" t="s">
        <v>55</v>
      </c>
      <c r="F62" t="s">
        <v>74</v>
      </c>
      <c r="G62" s="4">
        <v>60.01</v>
      </c>
      <c r="H62" s="4">
        <v>117.99</v>
      </c>
      <c r="I62" s="6">
        <v>130</v>
      </c>
      <c r="J62" s="6">
        <v>10</v>
      </c>
      <c r="K62" t="s">
        <v>26</v>
      </c>
      <c r="L62" s="1">
        <v>46236</v>
      </c>
      <c r="M62" s="4">
        <f t="shared" si="0"/>
        <v>7801.3</v>
      </c>
      <c r="N62" t="str">
        <f>IF(I62="","Unavailable",IF(I62&lt;=J62,"Reorder","Sufficient Stock"))</f>
        <v>Sufficient Stock</v>
      </c>
    </row>
    <row r="63" spans="1:14">
      <c r="A63" t="s">
        <v>238</v>
      </c>
      <c r="B63" t="s">
        <v>239</v>
      </c>
      <c r="C63" t="s">
        <v>240</v>
      </c>
      <c r="D63" t="s">
        <v>63</v>
      </c>
      <c r="E63" t="s">
        <v>146</v>
      </c>
      <c r="F63" t="s">
        <v>32</v>
      </c>
      <c r="G63" s="4">
        <v>8.8699999999999992</v>
      </c>
      <c r="H63" s="4">
        <v>12.38</v>
      </c>
      <c r="I63" s="6">
        <v>231</v>
      </c>
      <c r="J63" s="6">
        <v>10</v>
      </c>
      <c r="K63" t="s">
        <v>44</v>
      </c>
      <c r="L63" s="1">
        <v>46083</v>
      </c>
      <c r="M63" s="4">
        <f t="shared" si="0"/>
        <v>2048.9699999999998</v>
      </c>
      <c r="N63" t="str">
        <f>IF(I63="","Unavailable",IF(I63&lt;=J63,"Reorder","Sufficient Stock"))</f>
        <v>Sufficient Stock</v>
      </c>
    </row>
    <row r="64" spans="1:14">
      <c r="A64" t="s">
        <v>241</v>
      </c>
      <c r="B64" t="s">
        <v>242</v>
      </c>
      <c r="C64" t="s">
        <v>243</v>
      </c>
      <c r="D64" t="s">
        <v>54</v>
      </c>
      <c r="E64" t="s">
        <v>146</v>
      </c>
      <c r="F64" t="s">
        <v>101</v>
      </c>
      <c r="G64" s="4">
        <v>13.32</v>
      </c>
      <c r="H64" s="4">
        <v>19.52</v>
      </c>
      <c r="I64" s="6">
        <v>47</v>
      </c>
      <c r="J64" s="6">
        <v>12</v>
      </c>
      <c r="K64" t="s">
        <v>20</v>
      </c>
      <c r="L64" s="1">
        <v>45814</v>
      </c>
      <c r="M64" s="4">
        <f t="shared" si="0"/>
        <v>626.04</v>
      </c>
      <c r="N64" t="str">
        <f>IF(I64="","Unavailable",IF(I64&lt;=J64,"Reorder","Sufficient Stock"))</f>
        <v>Sufficient Stock</v>
      </c>
    </row>
    <row r="65" spans="1:14">
      <c r="A65" t="s">
        <v>244</v>
      </c>
      <c r="B65" t="s">
        <v>245</v>
      </c>
      <c r="C65" t="s">
        <v>246</v>
      </c>
      <c r="D65" t="s">
        <v>17</v>
      </c>
      <c r="E65" t="s">
        <v>43</v>
      </c>
      <c r="F65" t="s">
        <v>19</v>
      </c>
      <c r="G65" s="4">
        <v>73.12</v>
      </c>
      <c r="H65" s="4">
        <v>125.65</v>
      </c>
      <c r="I65" s="6">
        <v>78</v>
      </c>
      <c r="J65" s="6">
        <v>20</v>
      </c>
      <c r="K65" t="s">
        <v>26</v>
      </c>
      <c r="L65" s="1">
        <v>46256</v>
      </c>
      <c r="M65" s="4">
        <f t="shared" si="0"/>
        <v>5703.3600000000006</v>
      </c>
      <c r="N65" t="str">
        <f>IF(I65="","Unavailable",IF(I65&lt;=J65,"Reorder","Sufficient Stock"))</f>
        <v>Sufficient Stock</v>
      </c>
    </row>
    <row r="66" spans="1:14">
      <c r="A66" t="s">
        <v>247</v>
      </c>
      <c r="B66" t="s">
        <v>248</v>
      </c>
      <c r="C66" t="s">
        <v>249</v>
      </c>
      <c r="D66" t="s">
        <v>54</v>
      </c>
      <c r="E66" t="s">
        <v>31</v>
      </c>
      <c r="F66" t="s">
        <v>32</v>
      </c>
      <c r="G66" s="4">
        <v>73.510000000000005</v>
      </c>
      <c r="H66" s="4">
        <v>124.52</v>
      </c>
      <c r="I66" s="6">
        <v>21</v>
      </c>
      <c r="J66" s="6">
        <v>40</v>
      </c>
      <c r="K66" t="s">
        <v>97</v>
      </c>
      <c r="L66" s="1">
        <v>45802</v>
      </c>
      <c r="M66" s="4">
        <f t="shared" ref="M66:M129" si="1">IF(I66="","Unavailable",G66*I66)</f>
        <v>1543.71</v>
      </c>
      <c r="N66" t="str">
        <f t="shared" ref="N66:N129" si="2">IF(I66="","Unavailable",IF(I66&lt;=J66,"Reorder","Sufficient Stock"))</f>
        <v>Reorder</v>
      </c>
    </row>
    <row r="67" spans="1:14">
      <c r="A67" t="s">
        <v>250</v>
      </c>
      <c r="B67" t="s">
        <v>251</v>
      </c>
      <c r="C67" t="s">
        <v>252</v>
      </c>
      <c r="D67" t="s">
        <v>30</v>
      </c>
      <c r="E67" t="s">
        <v>24</v>
      </c>
      <c r="F67" t="s">
        <v>49</v>
      </c>
      <c r="G67" s="4">
        <v>42.18</v>
      </c>
      <c r="H67" s="4">
        <v>57.7</v>
      </c>
      <c r="I67" s="6">
        <v>111</v>
      </c>
      <c r="J67" s="6">
        <v>30</v>
      </c>
      <c r="K67" t="s">
        <v>44</v>
      </c>
      <c r="L67" s="1">
        <v>45361</v>
      </c>
      <c r="M67" s="4">
        <f t="shared" si="1"/>
        <v>4681.9799999999996</v>
      </c>
      <c r="N67" t="str">
        <f t="shared" si="2"/>
        <v>Sufficient Stock</v>
      </c>
    </row>
    <row r="68" spans="1:14">
      <c r="A68" t="s">
        <v>253</v>
      </c>
      <c r="B68" t="s">
        <v>254</v>
      </c>
      <c r="C68" t="s">
        <v>255</v>
      </c>
      <c r="D68" t="s">
        <v>30</v>
      </c>
      <c r="E68" t="s">
        <v>184</v>
      </c>
      <c r="F68" t="s">
        <v>49</v>
      </c>
      <c r="G68" s="4">
        <v>37.950000000000003</v>
      </c>
      <c r="H68" s="4">
        <v>81.93</v>
      </c>
      <c r="I68" s="6">
        <v>13</v>
      </c>
      <c r="J68" s="6">
        <v>25</v>
      </c>
      <c r="K68" t="s">
        <v>20</v>
      </c>
      <c r="L68" s="1">
        <v>45632</v>
      </c>
      <c r="M68" s="4">
        <f t="shared" si="1"/>
        <v>493.35</v>
      </c>
      <c r="N68" t="str">
        <f t="shared" si="2"/>
        <v>Reorder</v>
      </c>
    </row>
    <row r="69" spans="1:14">
      <c r="A69" t="s">
        <v>256</v>
      </c>
      <c r="B69" t="s">
        <v>257</v>
      </c>
      <c r="C69" t="s">
        <v>258</v>
      </c>
      <c r="D69" t="s">
        <v>36</v>
      </c>
      <c r="E69" t="s">
        <v>184</v>
      </c>
      <c r="F69" t="s">
        <v>101</v>
      </c>
      <c r="G69" s="4">
        <v>40.06</v>
      </c>
      <c r="H69" s="4">
        <v>89.68</v>
      </c>
      <c r="I69" s="6">
        <v>54</v>
      </c>
      <c r="J69" s="6">
        <v>30</v>
      </c>
      <c r="K69" t="s">
        <v>97</v>
      </c>
      <c r="L69" s="1">
        <v>46113</v>
      </c>
      <c r="M69" s="4">
        <f t="shared" si="1"/>
        <v>2163.2400000000002</v>
      </c>
      <c r="N69" t="str">
        <f t="shared" si="2"/>
        <v>Sufficient Stock</v>
      </c>
    </row>
    <row r="70" spans="1:14">
      <c r="A70" t="s">
        <v>259</v>
      </c>
      <c r="B70" t="s">
        <v>260</v>
      </c>
      <c r="C70" t="s">
        <v>261</v>
      </c>
      <c r="D70" t="s">
        <v>17</v>
      </c>
      <c r="E70" t="s">
        <v>64</v>
      </c>
      <c r="F70" t="s">
        <v>74</v>
      </c>
      <c r="G70" s="4">
        <v>33.19</v>
      </c>
      <c r="H70" s="4">
        <v>54.13</v>
      </c>
      <c r="I70" s="6">
        <v>18</v>
      </c>
      <c r="J70" s="6">
        <v>15</v>
      </c>
      <c r="K70" t="s">
        <v>38</v>
      </c>
      <c r="L70" s="1">
        <v>45528</v>
      </c>
      <c r="M70" s="4">
        <f t="shared" si="1"/>
        <v>597.41999999999996</v>
      </c>
      <c r="N70" t="str">
        <f t="shared" si="2"/>
        <v>Sufficient Stock</v>
      </c>
    </row>
    <row r="71" spans="1:14">
      <c r="A71" t="s">
        <v>262</v>
      </c>
      <c r="B71" t="s">
        <v>263</v>
      </c>
      <c r="C71" t="s">
        <v>264</v>
      </c>
      <c r="D71" t="s">
        <v>17</v>
      </c>
      <c r="E71" t="s">
        <v>18</v>
      </c>
      <c r="F71" t="s">
        <v>25</v>
      </c>
      <c r="G71" s="4">
        <v>44.88</v>
      </c>
      <c r="H71" s="4">
        <v>106.7</v>
      </c>
      <c r="I71" s="6">
        <v>97</v>
      </c>
      <c r="J71" s="6">
        <v>40</v>
      </c>
      <c r="K71" t="s">
        <v>20</v>
      </c>
      <c r="L71" s="1">
        <v>45388</v>
      </c>
      <c r="M71" s="4">
        <f t="shared" si="1"/>
        <v>4353.3600000000006</v>
      </c>
      <c r="N71" t="str">
        <f t="shared" si="2"/>
        <v>Sufficient Stock</v>
      </c>
    </row>
    <row r="72" spans="1:14">
      <c r="A72" t="s">
        <v>265</v>
      </c>
      <c r="B72" t="s">
        <v>266</v>
      </c>
      <c r="C72" t="s">
        <v>267</v>
      </c>
      <c r="D72" t="s">
        <v>17</v>
      </c>
      <c r="E72" t="s">
        <v>64</v>
      </c>
      <c r="F72" t="s">
        <v>49</v>
      </c>
      <c r="G72" s="4">
        <v>55.72</v>
      </c>
      <c r="H72" s="4">
        <v>104.11</v>
      </c>
      <c r="I72" s="6">
        <v>132</v>
      </c>
      <c r="J72" s="6">
        <v>10</v>
      </c>
      <c r="K72" t="s">
        <v>50</v>
      </c>
      <c r="L72" s="1">
        <v>45635</v>
      </c>
      <c r="M72" s="4">
        <f t="shared" si="1"/>
        <v>7355.04</v>
      </c>
      <c r="N72" t="str">
        <f t="shared" si="2"/>
        <v>Sufficient Stock</v>
      </c>
    </row>
    <row r="73" spans="1:14">
      <c r="A73" t="s">
        <v>268</v>
      </c>
      <c r="B73" t="s">
        <v>269</v>
      </c>
      <c r="C73" t="s">
        <v>270</v>
      </c>
      <c r="D73" t="s">
        <v>30</v>
      </c>
      <c r="E73" t="s">
        <v>146</v>
      </c>
      <c r="F73" t="s">
        <v>19</v>
      </c>
      <c r="G73" s="4">
        <v>47.05</v>
      </c>
      <c r="H73" s="4">
        <v>75.33</v>
      </c>
      <c r="I73" s="6">
        <v>201</v>
      </c>
      <c r="J73" s="6">
        <v>40</v>
      </c>
      <c r="K73" t="s">
        <v>20</v>
      </c>
      <c r="L73" s="1">
        <v>45471</v>
      </c>
      <c r="M73" s="4">
        <f t="shared" si="1"/>
        <v>9457.0499999999993</v>
      </c>
      <c r="N73" t="str">
        <f t="shared" si="2"/>
        <v>Sufficient Stock</v>
      </c>
    </row>
    <row r="74" spans="1:14">
      <c r="A74" t="s">
        <v>271</v>
      </c>
      <c r="B74" t="s">
        <v>272</v>
      </c>
      <c r="C74" t="s">
        <v>273</v>
      </c>
      <c r="D74" t="s">
        <v>42</v>
      </c>
      <c r="E74" t="s">
        <v>55</v>
      </c>
      <c r="F74" t="s">
        <v>37</v>
      </c>
      <c r="G74" s="4">
        <v>53.75</v>
      </c>
      <c r="H74" s="4">
        <v>82.71</v>
      </c>
      <c r="I74" s="6">
        <v>84</v>
      </c>
      <c r="J74" s="6">
        <v>15</v>
      </c>
      <c r="K74" t="s">
        <v>26</v>
      </c>
      <c r="L74" s="1">
        <v>45982</v>
      </c>
      <c r="M74" s="4">
        <f t="shared" si="1"/>
        <v>4515</v>
      </c>
      <c r="N74" t="str">
        <f t="shared" si="2"/>
        <v>Sufficient Stock</v>
      </c>
    </row>
    <row r="75" spans="1:14">
      <c r="A75" t="s">
        <v>274</v>
      </c>
      <c r="B75" t="s">
        <v>275</v>
      </c>
      <c r="C75" t="s">
        <v>276</v>
      </c>
      <c r="D75" t="s">
        <v>191</v>
      </c>
      <c r="E75" t="s">
        <v>48</v>
      </c>
      <c r="F75" t="s">
        <v>159</v>
      </c>
      <c r="G75" s="4">
        <v>64.12</v>
      </c>
      <c r="H75" s="4">
        <v>95.75</v>
      </c>
      <c r="I75" s="6">
        <v>124</v>
      </c>
      <c r="J75" s="6">
        <v>40</v>
      </c>
      <c r="K75" t="s">
        <v>97</v>
      </c>
      <c r="L75" s="1">
        <v>45597</v>
      </c>
      <c r="M75" s="4">
        <f t="shared" si="1"/>
        <v>7950.880000000001</v>
      </c>
      <c r="N75" t="str">
        <f t="shared" si="2"/>
        <v>Sufficient Stock</v>
      </c>
    </row>
    <row r="76" spans="1:14">
      <c r="A76" t="s">
        <v>277</v>
      </c>
      <c r="B76" t="s">
        <v>278</v>
      </c>
      <c r="C76" t="s">
        <v>279</v>
      </c>
      <c r="D76" t="s">
        <v>73</v>
      </c>
      <c r="E76" t="s">
        <v>24</v>
      </c>
      <c r="F76" t="s">
        <v>59</v>
      </c>
      <c r="G76" s="4">
        <v>9.6199999999999992</v>
      </c>
      <c r="H76" s="4">
        <v>20.37</v>
      </c>
      <c r="I76" s="6">
        <v>214</v>
      </c>
      <c r="J76" s="6">
        <v>25</v>
      </c>
      <c r="K76" t="s">
        <v>50</v>
      </c>
      <c r="L76" s="1">
        <v>46021</v>
      </c>
      <c r="M76" s="4">
        <f t="shared" si="1"/>
        <v>2058.6799999999998</v>
      </c>
      <c r="N76" t="str">
        <f t="shared" si="2"/>
        <v>Sufficient Stock</v>
      </c>
    </row>
    <row r="77" spans="1:14">
      <c r="A77" t="s">
        <v>280</v>
      </c>
      <c r="B77" t="s">
        <v>281</v>
      </c>
      <c r="C77" t="s">
        <v>282</v>
      </c>
      <c r="D77" t="s">
        <v>30</v>
      </c>
      <c r="E77" t="s">
        <v>83</v>
      </c>
      <c r="F77" t="s">
        <v>49</v>
      </c>
      <c r="G77" s="4">
        <v>33.44</v>
      </c>
      <c r="H77" s="4">
        <v>54.15</v>
      </c>
      <c r="I77" s="6">
        <v>155</v>
      </c>
      <c r="J77" s="6">
        <v>12</v>
      </c>
      <c r="K77" t="s">
        <v>20</v>
      </c>
      <c r="L77" s="1">
        <v>45920</v>
      </c>
      <c r="M77" s="4">
        <f t="shared" si="1"/>
        <v>5183.2</v>
      </c>
      <c r="N77" t="str">
        <f t="shared" si="2"/>
        <v>Sufficient Stock</v>
      </c>
    </row>
    <row r="78" spans="1:14">
      <c r="A78" t="s">
        <v>283</v>
      </c>
      <c r="B78" t="s">
        <v>284</v>
      </c>
      <c r="C78" t="s">
        <v>285</v>
      </c>
      <c r="D78" t="s">
        <v>36</v>
      </c>
      <c r="E78" t="s">
        <v>31</v>
      </c>
      <c r="F78" t="s">
        <v>59</v>
      </c>
      <c r="G78" s="4">
        <v>22.29</v>
      </c>
      <c r="H78" s="4">
        <v>41.65</v>
      </c>
      <c r="I78" s="6">
        <v>81</v>
      </c>
      <c r="J78" s="6">
        <v>40</v>
      </c>
      <c r="K78" t="s">
        <v>97</v>
      </c>
      <c r="L78" s="1">
        <v>45523</v>
      </c>
      <c r="M78" s="4">
        <f t="shared" si="1"/>
        <v>1805.49</v>
      </c>
      <c r="N78" t="str">
        <f t="shared" si="2"/>
        <v>Sufficient Stock</v>
      </c>
    </row>
    <row r="79" spans="1:14">
      <c r="A79" t="s">
        <v>286</v>
      </c>
      <c r="B79" t="s">
        <v>287</v>
      </c>
      <c r="C79" t="s">
        <v>288</v>
      </c>
      <c r="D79" t="s">
        <v>289</v>
      </c>
      <c r="E79" t="s">
        <v>146</v>
      </c>
      <c r="F79" t="s">
        <v>101</v>
      </c>
      <c r="G79" s="4">
        <v>23.07</v>
      </c>
      <c r="H79" s="4">
        <v>42.42</v>
      </c>
      <c r="I79" s="6">
        <v>151</v>
      </c>
      <c r="J79" s="6">
        <v>12</v>
      </c>
      <c r="K79" t="s">
        <v>44</v>
      </c>
      <c r="L79" s="1">
        <v>46072</v>
      </c>
      <c r="M79" s="4">
        <f t="shared" si="1"/>
        <v>3483.57</v>
      </c>
      <c r="N79" t="str">
        <f t="shared" si="2"/>
        <v>Sufficient Stock</v>
      </c>
    </row>
    <row r="80" spans="1:14">
      <c r="A80" t="s">
        <v>290</v>
      </c>
      <c r="B80" t="s">
        <v>291</v>
      </c>
      <c r="C80" t="s">
        <v>292</v>
      </c>
      <c r="D80" t="s">
        <v>17</v>
      </c>
      <c r="E80" t="s">
        <v>24</v>
      </c>
      <c r="F80" t="s">
        <v>25</v>
      </c>
      <c r="G80" s="4">
        <v>7.85</v>
      </c>
      <c r="H80" s="4">
        <v>13.92</v>
      </c>
      <c r="I80" s="6">
        <v>140</v>
      </c>
      <c r="J80" s="6">
        <v>40</v>
      </c>
      <c r="K80" t="s">
        <v>26</v>
      </c>
      <c r="L80" s="1">
        <v>46201</v>
      </c>
      <c r="M80" s="4">
        <f t="shared" si="1"/>
        <v>1099</v>
      </c>
      <c r="N80" t="str">
        <f t="shared" si="2"/>
        <v>Sufficient Stock</v>
      </c>
    </row>
    <row r="81" spans="1:14">
      <c r="A81" t="s">
        <v>293</v>
      </c>
      <c r="B81" t="s">
        <v>294</v>
      </c>
      <c r="C81" t="s">
        <v>295</v>
      </c>
      <c r="D81" t="s">
        <v>289</v>
      </c>
      <c r="E81" t="s">
        <v>55</v>
      </c>
      <c r="F81" t="s">
        <v>25</v>
      </c>
      <c r="G81" s="4">
        <v>69.94</v>
      </c>
      <c r="H81" s="4">
        <v>102.24</v>
      </c>
      <c r="I81" s="6">
        <v>15</v>
      </c>
      <c r="J81" s="6">
        <v>15</v>
      </c>
      <c r="K81" t="s">
        <v>50</v>
      </c>
      <c r="L81" s="1">
        <v>45728</v>
      </c>
      <c r="M81" s="4">
        <f t="shared" si="1"/>
        <v>1049.0999999999999</v>
      </c>
      <c r="N81" t="str">
        <f t="shared" si="2"/>
        <v>Reorder</v>
      </c>
    </row>
    <row r="82" spans="1:14">
      <c r="A82" t="s">
        <v>296</v>
      </c>
      <c r="B82" t="s">
        <v>297</v>
      </c>
      <c r="C82" t="s">
        <v>298</v>
      </c>
      <c r="D82" t="s">
        <v>198</v>
      </c>
      <c r="E82" t="s">
        <v>31</v>
      </c>
      <c r="F82" t="s">
        <v>32</v>
      </c>
      <c r="G82" s="4">
        <v>10.6</v>
      </c>
      <c r="H82" s="4">
        <v>18.8</v>
      </c>
      <c r="I82" s="6">
        <v>171</v>
      </c>
      <c r="J82" s="6">
        <v>30</v>
      </c>
      <c r="K82" t="s">
        <v>38</v>
      </c>
      <c r="L82" s="1">
        <v>45717</v>
      </c>
      <c r="M82" s="4">
        <f t="shared" si="1"/>
        <v>1812.6</v>
      </c>
      <c r="N82" t="str">
        <f t="shared" si="2"/>
        <v>Sufficient Stock</v>
      </c>
    </row>
    <row r="83" spans="1:14">
      <c r="A83" t="s">
        <v>299</v>
      </c>
      <c r="B83" t="s">
        <v>300</v>
      </c>
      <c r="C83" t="s">
        <v>301</v>
      </c>
      <c r="D83" t="s">
        <v>73</v>
      </c>
      <c r="E83" t="s">
        <v>146</v>
      </c>
      <c r="F83" t="s">
        <v>32</v>
      </c>
      <c r="G83" s="4">
        <v>78.56</v>
      </c>
      <c r="H83" s="4">
        <v>127.02</v>
      </c>
      <c r="I83" s="6">
        <v>260</v>
      </c>
      <c r="J83" s="6">
        <v>20</v>
      </c>
      <c r="K83" t="s">
        <v>97</v>
      </c>
      <c r="L83" s="1">
        <v>45368</v>
      </c>
      <c r="M83" s="4">
        <f t="shared" si="1"/>
        <v>20425.600000000002</v>
      </c>
      <c r="N83" t="str">
        <f t="shared" si="2"/>
        <v>Sufficient Stock</v>
      </c>
    </row>
    <row r="84" spans="1:14">
      <c r="A84" t="s">
        <v>302</v>
      </c>
      <c r="B84" t="s">
        <v>303</v>
      </c>
      <c r="C84" t="s">
        <v>304</v>
      </c>
      <c r="D84" t="s">
        <v>191</v>
      </c>
      <c r="E84" t="s">
        <v>55</v>
      </c>
      <c r="F84" t="s">
        <v>32</v>
      </c>
      <c r="G84" s="4">
        <v>83.9</v>
      </c>
      <c r="H84" s="4">
        <v>172</v>
      </c>
      <c r="I84" s="6">
        <v>30</v>
      </c>
      <c r="J84" s="6">
        <v>20</v>
      </c>
      <c r="K84" t="s">
        <v>38</v>
      </c>
      <c r="L84" s="1">
        <v>45366</v>
      </c>
      <c r="M84" s="4">
        <f t="shared" si="1"/>
        <v>2517</v>
      </c>
      <c r="N84" t="str">
        <f t="shared" si="2"/>
        <v>Sufficient Stock</v>
      </c>
    </row>
    <row r="85" spans="1:14">
      <c r="A85" t="s">
        <v>305</v>
      </c>
      <c r="B85" t="s">
        <v>306</v>
      </c>
      <c r="C85" t="s">
        <v>307</v>
      </c>
      <c r="D85" t="s">
        <v>73</v>
      </c>
      <c r="E85" t="s">
        <v>64</v>
      </c>
      <c r="F85" t="s">
        <v>37</v>
      </c>
      <c r="G85" s="4">
        <v>54.32</v>
      </c>
      <c r="H85" s="4">
        <v>105.29</v>
      </c>
      <c r="I85" s="6">
        <v>146</v>
      </c>
      <c r="J85" s="6">
        <v>25</v>
      </c>
      <c r="K85" t="s">
        <v>38</v>
      </c>
      <c r="L85" s="1">
        <v>46010</v>
      </c>
      <c r="M85" s="4">
        <f t="shared" si="1"/>
        <v>7930.72</v>
      </c>
      <c r="N85" t="str">
        <f t="shared" si="2"/>
        <v>Sufficient Stock</v>
      </c>
    </row>
    <row r="86" spans="1:14">
      <c r="A86" t="s">
        <v>308</v>
      </c>
      <c r="B86" t="s">
        <v>309</v>
      </c>
      <c r="C86" t="s">
        <v>310</v>
      </c>
      <c r="D86" t="s">
        <v>17</v>
      </c>
      <c r="E86" t="s">
        <v>55</v>
      </c>
      <c r="F86" t="s">
        <v>101</v>
      </c>
      <c r="G86" s="4">
        <v>76.08</v>
      </c>
      <c r="H86" s="4">
        <v>133.19</v>
      </c>
      <c r="I86" s="6">
        <v>124</v>
      </c>
      <c r="J86" s="6">
        <v>30</v>
      </c>
      <c r="K86" t="s">
        <v>20</v>
      </c>
      <c r="L86" s="1">
        <v>46021</v>
      </c>
      <c r="M86" s="4">
        <f t="shared" si="1"/>
        <v>9433.92</v>
      </c>
      <c r="N86" t="str">
        <f t="shared" si="2"/>
        <v>Sufficient Stock</v>
      </c>
    </row>
    <row r="87" spans="1:14">
      <c r="A87" t="s">
        <v>311</v>
      </c>
      <c r="B87" t="s">
        <v>312</v>
      </c>
      <c r="C87" t="s">
        <v>313</v>
      </c>
      <c r="D87" t="s">
        <v>30</v>
      </c>
      <c r="E87" t="s">
        <v>69</v>
      </c>
      <c r="F87" t="s">
        <v>49</v>
      </c>
      <c r="G87" s="4">
        <v>84.79</v>
      </c>
      <c r="H87" s="4">
        <v>129.13999999999999</v>
      </c>
      <c r="I87" s="6">
        <v>97</v>
      </c>
      <c r="J87" s="6">
        <v>25</v>
      </c>
      <c r="K87" t="s">
        <v>20</v>
      </c>
      <c r="L87" s="1">
        <v>45355</v>
      </c>
      <c r="M87" s="4">
        <f t="shared" si="1"/>
        <v>8224.630000000001</v>
      </c>
      <c r="N87" t="str">
        <f t="shared" si="2"/>
        <v>Sufficient Stock</v>
      </c>
    </row>
    <row r="88" spans="1:14">
      <c r="A88" t="s">
        <v>314</v>
      </c>
      <c r="B88" t="s">
        <v>315</v>
      </c>
      <c r="C88" t="s">
        <v>316</v>
      </c>
      <c r="D88" t="s">
        <v>17</v>
      </c>
      <c r="E88" t="s">
        <v>184</v>
      </c>
      <c r="F88" t="s">
        <v>159</v>
      </c>
      <c r="G88" s="4">
        <v>30.93</v>
      </c>
      <c r="H88" s="4">
        <v>59.31</v>
      </c>
      <c r="I88" s="6">
        <v>50</v>
      </c>
      <c r="J88" s="6">
        <v>30</v>
      </c>
      <c r="K88" t="s">
        <v>26</v>
      </c>
      <c r="L88" s="1">
        <v>45773</v>
      </c>
      <c r="M88" s="4">
        <f t="shared" si="1"/>
        <v>1546.5</v>
      </c>
      <c r="N88" t="str">
        <f t="shared" si="2"/>
        <v>Sufficient Stock</v>
      </c>
    </row>
    <row r="89" spans="1:14">
      <c r="A89" t="s">
        <v>317</v>
      </c>
      <c r="B89" t="s">
        <v>318</v>
      </c>
      <c r="C89" t="s">
        <v>319</v>
      </c>
      <c r="D89" t="s">
        <v>17</v>
      </c>
      <c r="E89" t="s">
        <v>24</v>
      </c>
      <c r="F89" t="s">
        <v>32</v>
      </c>
      <c r="G89" s="4">
        <v>36.47</v>
      </c>
      <c r="H89" s="4">
        <v>75.06</v>
      </c>
      <c r="I89" s="6">
        <v>97</v>
      </c>
      <c r="J89" s="6">
        <v>40</v>
      </c>
      <c r="K89" t="s">
        <v>97</v>
      </c>
      <c r="L89" s="1">
        <v>45990</v>
      </c>
      <c r="M89" s="4">
        <f t="shared" si="1"/>
        <v>3537.5899999999997</v>
      </c>
      <c r="N89" t="str">
        <f t="shared" si="2"/>
        <v>Sufficient Stock</v>
      </c>
    </row>
    <row r="90" spans="1:14">
      <c r="A90" t="s">
        <v>320</v>
      </c>
      <c r="B90" t="s">
        <v>321</v>
      </c>
      <c r="C90" t="s">
        <v>322</v>
      </c>
      <c r="D90" t="s">
        <v>17</v>
      </c>
      <c r="E90" t="s">
        <v>18</v>
      </c>
      <c r="F90" t="s">
        <v>101</v>
      </c>
      <c r="G90" s="4">
        <v>80.900000000000006</v>
      </c>
      <c r="H90" s="4">
        <v>190.72</v>
      </c>
      <c r="I90" s="6">
        <v>216</v>
      </c>
      <c r="J90" s="6">
        <v>12</v>
      </c>
      <c r="K90" t="s">
        <v>50</v>
      </c>
      <c r="L90" s="1">
        <v>45478</v>
      </c>
      <c r="M90" s="4">
        <f t="shared" si="1"/>
        <v>17474.400000000001</v>
      </c>
      <c r="N90" t="str">
        <f t="shared" si="2"/>
        <v>Sufficient Stock</v>
      </c>
    </row>
    <row r="91" spans="1:14">
      <c r="A91" t="s">
        <v>323</v>
      </c>
      <c r="B91" t="s">
        <v>324</v>
      </c>
      <c r="C91" t="s">
        <v>325</v>
      </c>
      <c r="D91" t="s">
        <v>42</v>
      </c>
      <c r="E91" t="s">
        <v>24</v>
      </c>
      <c r="F91" t="s">
        <v>37</v>
      </c>
      <c r="G91" s="4">
        <v>41.58</v>
      </c>
      <c r="H91" s="4">
        <v>90.31</v>
      </c>
      <c r="J91" s="6">
        <v>30</v>
      </c>
      <c r="K91" t="s">
        <v>50</v>
      </c>
      <c r="L91" s="1">
        <v>45663</v>
      </c>
      <c r="M91" s="4" t="str">
        <f t="shared" si="1"/>
        <v>Unavailable</v>
      </c>
      <c r="N91" t="str">
        <f t="shared" si="2"/>
        <v>Unavailable</v>
      </c>
    </row>
    <row r="92" spans="1:14">
      <c r="A92" t="s">
        <v>326</v>
      </c>
      <c r="B92" t="s">
        <v>327</v>
      </c>
      <c r="C92" t="s">
        <v>328</v>
      </c>
      <c r="D92" t="s">
        <v>198</v>
      </c>
      <c r="E92" t="s">
        <v>31</v>
      </c>
      <c r="F92" t="s">
        <v>25</v>
      </c>
      <c r="G92" s="4">
        <v>11.22</v>
      </c>
      <c r="H92" s="4">
        <v>26.89</v>
      </c>
      <c r="I92" s="6">
        <v>5</v>
      </c>
      <c r="J92" s="6">
        <v>12</v>
      </c>
      <c r="K92" t="s">
        <v>44</v>
      </c>
      <c r="L92" s="1">
        <v>45921</v>
      </c>
      <c r="M92" s="4">
        <f t="shared" si="1"/>
        <v>56.1</v>
      </c>
      <c r="N92" t="str">
        <f t="shared" si="2"/>
        <v>Reorder</v>
      </c>
    </row>
    <row r="93" spans="1:14">
      <c r="A93" t="s">
        <v>329</v>
      </c>
      <c r="B93" t="s">
        <v>330</v>
      </c>
      <c r="C93" t="s">
        <v>331</v>
      </c>
      <c r="D93" t="s">
        <v>198</v>
      </c>
      <c r="E93" t="s">
        <v>18</v>
      </c>
      <c r="F93" t="s">
        <v>32</v>
      </c>
      <c r="G93" s="4">
        <v>9.0500000000000007</v>
      </c>
      <c r="H93" s="4">
        <v>19.87</v>
      </c>
      <c r="I93" s="6">
        <v>135</v>
      </c>
      <c r="J93" s="6">
        <v>25</v>
      </c>
      <c r="K93" t="s">
        <v>38</v>
      </c>
      <c r="L93" s="1">
        <v>46166</v>
      </c>
      <c r="M93" s="4">
        <f t="shared" si="1"/>
        <v>1221.75</v>
      </c>
      <c r="N93" t="str">
        <f t="shared" si="2"/>
        <v>Sufficient Stock</v>
      </c>
    </row>
    <row r="94" spans="1:14">
      <c r="A94" t="s">
        <v>332</v>
      </c>
      <c r="B94" t="s">
        <v>333</v>
      </c>
      <c r="C94" t="s">
        <v>334</v>
      </c>
      <c r="D94" t="s">
        <v>198</v>
      </c>
      <c r="E94" t="s">
        <v>31</v>
      </c>
      <c r="F94" t="s">
        <v>37</v>
      </c>
      <c r="G94" s="4">
        <v>36.9</v>
      </c>
      <c r="H94" s="4">
        <v>51.2</v>
      </c>
      <c r="J94" s="6">
        <v>40</v>
      </c>
      <c r="K94" t="s">
        <v>50</v>
      </c>
      <c r="L94" s="1">
        <v>45886</v>
      </c>
      <c r="M94" s="4" t="str">
        <f t="shared" si="1"/>
        <v>Unavailable</v>
      </c>
      <c r="N94" t="str">
        <f t="shared" si="2"/>
        <v>Unavailable</v>
      </c>
    </row>
    <row r="95" spans="1:14">
      <c r="A95" t="s">
        <v>335</v>
      </c>
      <c r="B95" t="s">
        <v>336</v>
      </c>
      <c r="C95" t="s">
        <v>337</v>
      </c>
      <c r="D95" t="s">
        <v>30</v>
      </c>
      <c r="E95" t="s">
        <v>31</v>
      </c>
      <c r="F95" t="s">
        <v>32</v>
      </c>
      <c r="G95" s="4">
        <v>31.83</v>
      </c>
      <c r="H95" s="4">
        <v>61.08</v>
      </c>
      <c r="I95" s="6">
        <v>135</v>
      </c>
      <c r="J95" s="6">
        <v>20</v>
      </c>
      <c r="K95" t="s">
        <v>97</v>
      </c>
      <c r="L95" s="1">
        <v>45517</v>
      </c>
      <c r="M95" s="4">
        <f t="shared" si="1"/>
        <v>4297.05</v>
      </c>
      <c r="N95" t="str">
        <f t="shared" si="2"/>
        <v>Sufficient Stock</v>
      </c>
    </row>
    <row r="96" spans="1:14">
      <c r="A96" t="s">
        <v>338</v>
      </c>
      <c r="B96" t="s">
        <v>339</v>
      </c>
      <c r="C96" t="s">
        <v>340</v>
      </c>
      <c r="D96" t="s">
        <v>30</v>
      </c>
      <c r="E96" t="s">
        <v>43</v>
      </c>
      <c r="F96" t="s">
        <v>37</v>
      </c>
      <c r="G96" s="4">
        <v>62.48</v>
      </c>
      <c r="H96" s="4">
        <v>150.33000000000001</v>
      </c>
      <c r="I96" s="6">
        <v>62</v>
      </c>
      <c r="J96" s="6">
        <v>25</v>
      </c>
      <c r="K96" t="s">
        <v>38</v>
      </c>
      <c r="M96" s="4">
        <f t="shared" si="1"/>
        <v>3873.7599999999998</v>
      </c>
      <c r="N96" t="str">
        <f t="shared" si="2"/>
        <v>Sufficient Stock</v>
      </c>
    </row>
    <row r="97" spans="1:14">
      <c r="A97" t="s">
        <v>341</v>
      </c>
      <c r="B97" t="s">
        <v>342</v>
      </c>
      <c r="C97" t="s">
        <v>343</v>
      </c>
      <c r="D97" t="s">
        <v>78</v>
      </c>
      <c r="E97" t="s">
        <v>55</v>
      </c>
      <c r="F97" t="s">
        <v>159</v>
      </c>
      <c r="G97" s="4">
        <v>74.180000000000007</v>
      </c>
      <c r="H97" s="4">
        <v>181.15</v>
      </c>
      <c r="I97" s="6">
        <v>231</v>
      </c>
      <c r="J97" s="6">
        <v>25</v>
      </c>
      <c r="K97" t="s">
        <v>20</v>
      </c>
      <c r="L97" s="1">
        <v>46064</v>
      </c>
      <c r="M97" s="4">
        <f t="shared" si="1"/>
        <v>17135.580000000002</v>
      </c>
      <c r="N97" t="str">
        <f t="shared" si="2"/>
        <v>Sufficient Stock</v>
      </c>
    </row>
    <row r="98" spans="1:14">
      <c r="A98" t="s">
        <v>344</v>
      </c>
      <c r="B98" t="s">
        <v>345</v>
      </c>
      <c r="C98" t="s">
        <v>346</v>
      </c>
      <c r="D98" t="s">
        <v>30</v>
      </c>
      <c r="E98" t="s">
        <v>31</v>
      </c>
      <c r="F98" t="s">
        <v>49</v>
      </c>
      <c r="G98" s="4">
        <v>3.03</v>
      </c>
      <c r="H98" s="4">
        <v>5.47</v>
      </c>
      <c r="I98" s="6">
        <v>22</v>
      </c>
      <c r="J98" s="6">
        <v>5</v>
      </c>
      <c r="K98" t="s">
        <v>38</v>
      </c>
      <c r="L98" s="1">
        <v>45894</v>
      </c>
      <c r="M98" s="4">
        <f t="shared" si="1"/>
        <v>66.66</v>
      </c>
      <c r="N98" t="str">
        <f t="shared" si="2"/>
        <v>Sufficient Stock</v>
      </c>
    </row>
    <row r="99" spans="1:14">
      <c r="A99" t="s">
        <v>347</v>
      </c>
      <c r="B99" t="s">
        <v>348</v>
      </c>
      <c r="C99" t="s">
        <v>349</v>
      </c>
      <c r="D99" t="s">
        <v>17</v>
      </c>
      <c r="E99" t="s">
        <v>18</v>
      </c>
      <c r="F99" t="s">
        <v>19</v>
      </c>
      <c r="G99" s="4">
        <v>77.92</v>
      </c>
      <c r="H99" s="4">
        <v>186.83</v>
      </c>
      <c r="I99" s="6">
        <v>131</v>
      </c>
      <c r="J99" s="6">
        <v>5</v>
      </c>
      <c r="K99" t="s">
        <v>20</v>
      </c>
      <c r="L99" s="1">
        <v>45714</v>
      </c>
      <c r="M99" s="4">
        <f t="shared" si="1"/>
        <v>10207.52</v>
      </c>
      <c r="N99" t="str">
        <f t="shared" si="2"/>
        <v>Sufficient Stock</v>
      </c>
    </row>
    <row r="100" spans="1:14">
      <c r="A100" t="s">
        <v>350</v>
      </c>
      <c r="B100" t="s">
        <v>351</v>
      </c>
      <c r="C100" t="s">
        <v>352</v>
      </c>
      <c r="D100" t="s">
        <v>198</v>
      </c>
      <c r="E100" t="s">
        <v>69</v>
      </c>
      <c r="F100" t="s">
        <v>79</v>
      </c>
      <c r="G100" s="4">
        <v>81.77</v>
      </c>
      <c r="H100" s="4">
        <v>158.93</v>
      </c>
      <c r="I100" s="6">
        <v>52</v>
      </c>
      <c r="J100" s="6">
        <v>5</v>
      </c>
      <c r="K100" t="s">
        <v>20</v>
      </c>
      <c r="L100" s="1">
        <v>45884</v>
      </c>
      <c r="M100" s="4">
        <f t="shared" si="1"/>
        <v>4252.04</v>
      </c>
      <c r="N100" t="str">
        <f t="shared" si="2"/>
        <v>Sufficient Stock</v>
      </c>
    </row>
    <row r="101" spans="1:14">
      <c r="A101" t="s">
        <v>353</v>
      </c>
      <c r="B101" t="s">
        <v>354</v>
      </c>
      <c r="C101" t="s">
        <v>355</v>
      </c>
      <c r="D101" t="s">
        <v>198</v>
      </c>
      <c r="E101" t="s">
        <v>24</v>
      </c>
      <c r="F101" t="s">
        <v>74</v>
      </c>
      <c r="G101" s="4">
        <v>67.959999999999994</v>
      </c>
      <c r="H101" s="4">
        <v>97.12</v>
      </c>
      <c r="I101" s="6">
        <v>198</v>
      </c>
      <c r="J101" s="6">
        <v>5</v>
      </c>
      <c r="K101" t="s">
        <v>38</v>
      </c>
      <c r="L101" s="1">
        <v>45572</v>
      </c>
      <c r="M101" s="4">
        <f t="shared" si="1"/>
        <v>13456.079999999998</v>
      </c>
      <c r="N101" t="str">
        <f t="shared" si="2"/>
        <v>Sufficient Stock</v>
      </c>
    </row>
    <row r="102" spans="1:14">
      <c r="A102" t="s">
        <v>356</v>
      </c>
      <c r="B102" t="s">
        <v>357</v>
      </c>
      <c r="C102" t="s">
        <v>358</v>
      </c>
      <c r="D102" t="s">
        <v>17</v>
      </c>
      <c r="E102" t="s">
        <v>64</v>
      </c>
      <c r="F102" t="s">
        <v>79</v>
      </c>
      <c r="G102" s="4">
        <v>71.31</v>
      </c>
      <c r="H102" s="4">
        <v>130.88</v>
      </c>
      <c r="I102" s="6">
        <v>26</v>
      </c>
      <c r="J102" s="6">
        <v>30</v>
      </c>
      <c r="K102" t="s">
        <v>26</v>
      </c>
      <c r="L102" s="1">
        <v>45930</v>
      </c>
      <c r="M102" s="4">
        <f t="shared" si="1"/>
        <v>1854.06</v>
      </c>
      <c r="N102" t="str">
        <f t="shared" si="2"/>
        <v>Reorder</v>
      </c>
    </row>
    <row r="103" spans="1:14">
      <c r="A103" t="s">
        <v>359</v>
      </c>
      <c r="B103" t="s">
        <v>360</v>
      </c>
      <c r="C103" t="s">
        <v>361</v>
      </c>
      <c r="D103" t="s">
        <v>73</v>
      </c>
      <c r="E103" t="s">
        <v>69</v>
      </c>
      <c r="F103" t="s">
        <v>79</v>
      </c>
      <c r="G103" s="4">
        <v>7.87</v>
      </c>
      <c r="H103" s="4">
        <v>18.98</v>
      </c>
      <c r="I103" s="6">
        <v>211</v>
      </c>
      <c r="J103" s="6">
        <v>40</v>
      </c>
      <c r="K103" t="s">
        <v>20</v>
      </c>
      <c r="L103" s="1">
        <v>46195</v>
      </c>
      <c r="M103" s="4">
        <f t="shared" si="1"/>
        <v>1660.57</v>
      </c>
      <c r="N103" t="str">
        <f t="shared" si="2"/>
        <v>Sufficient Stock</v>
      </c>
    </row>
    <row r="104" spans="1:14">
      <c r="A104" t="s">
        <v>362</v>
      </c>
      <c r="B104" t="s">
        <v>363</v>
      </c>
      <c r="C104" t="s">
        <v>364</v>
      </c>
      <c r="D104" t="s">
        <v>17</v>
      </c>
      <c r="E104" t="s">
        <v>69</v>
      </c>
      <c r="F104" t="s">
        <v>79</v>
      </c>
      <c r="G104" s="4">
        <v>63.5</v>
      </c>
      <c r="H104" s="4">
        <v>122.32</v>
      </c>
      <c r="I104" s="6">
        <v>77</v>
      </c>
      <c r="J104" s="6">
        <v>15</v>
      </c>
      <c r="K104" t="s">
        <v>50</v>
      </c>
      <c r="L104" s="1">
        <v>45950</v>
      </c>
      <c r="M104" s="4">
        <f t="shared" si="1"/>
        <v>4889.5</v>
      </c>
      <c r="N104" t="str">
        <f t="shared" si="2"/>
        <v>Sufficient Stock</v>
      </c>
    </row>
    <row r="105" spans="1:14">
      <c r="A105" t="s">
        <v>365</v>
      </c>
      <c r="B105" t="s">
        <v>366</v>
      </c>
      <c r="C105" t="s">
        <v>367</v>
      </c>
      <c r="D105" t="s">
        <v>17</v>
      </c>
      <c r="E105" t="s">
        <v>24</v>
      </c>
      <c r="F105" t="s">
        <v>25</v>
      </c>
      <c r="G105" s="4">
        <v>31.96</v>
      </c>
      <c r="H105" s="4">
        <v>77.150000000000006</v>
      </c>
      <c r="I105" s="6">
        <v>5</v>
      </c>
      <c r="J105" s="6">
        <v>25</v>
      </c>
      <c r="K105" t="s">
        <v>38</v>
      </c>
      <c r="L105" s="1">
        <v>45481</v>
      </c>
      <c r="M105" s="4">
        <f t="shared" si="1"/>
        <v>159.80000000000001</v>
      </c>
      <c r="N105" t="str">
        <f t="shared" si="2"/>
        <v>Reorder</v>
      </c>
    </row>
    <row r="106" spans="1:14">
      <c r="A106" t="s">
        <v>368</v>
      </c>
      <c r="B106" t="s">
        <v>369</v>
      </c>
      <c r="C106" t="s">
        <v>370</v>
      </c>
      <c r="D106" t="s">
        <v>30</v>
      </c>
      <c r="E106" t="s">
        <v>18</v>
      </c>
      <c r="F106" t="s">
        <v>49</v>
      </c>
      <c r="G106" s="4">
        <v>48.76</v>
      </c>
      <c r="H106" s="4">
        <v>110.03</v>
      </c>
      <c r="I106" s="6">
        <v>37</v>
      </c>
      <c r="J106" s="6">
        <v>15</v>
      </c>
      <c r="K106" t="s">
        <v>26</v>
      </c>
      <c r="L106" s="1">
        <v>46242</v>
      </c>
      <c r="M106" s="4">
        <f t="shared" si="1"/>
        <v>1804.12</v>
      </c>
      <c r="N106" t="str">
        <f t="shared" si="2"/>
        <v>Sufficient Stock</v>
      </c>
    </row>
    <row r="107" spans="1:14">
      <c r="A107" t="s">
        <v>371</v>
      </c>
      <c r="B107" t="s">
        <v>372</v>
      </c>
      <c r="C107" t="s">
        <v>373</v>
      </c>
      <c r="D107" t="s">
        <v>191</v>
      </c>
      <c r="E107" t="s">
        <v>69</v>
      </c>
      <c r="F107" t="s">
        <v>19</v>
      </c>
      <c r="G107" s="4">
        <v>12.11</v>
      </c>
      <c r="H107" s="4">
        <v>19.7</v>
      </c>
      <c r="I107" s="6">
        <v>241</v>
      </c>
      <c r="J107" s="6">
        <v>25</v>
      </c>
      <c r="K107" t="s">
        <v>97</v>
      </c>
      <c r="L107" s="1">
        <v>45683</v>
      </c>
      <c r="M107" s="4">
        <f t="shared" si="1"/>
        <v>2918.5099999999998</v>
      </c>
      <c r="N107" t="str">
        <f t="shared" si="2"/>
        <v>Sufficient Stock</v>
      </c>
    </row>
    <row r="108" spans="1:14">
      <c r="A108" t="s">
        <v>374</v>
      </c>
      <c r="B108" t="s">
        <v>375</v>
      </c>
      <c r="C108" t="s">
        <v>376</v>
      </c>
      <c r="D108" t="s">
        <v>54</v>
      </c>
      <c r="E108" t="s">
        <v>24</v>
      </c>
      <c r="F108" t="s">
        <v>25</v>
      </c>
      <c r="G108" s="4">
        <v>84.4</v>
      </c>
      <c r="H108" s="4">
        <v>188.06</v>
      </c>
      <c r="I108" s="6">
        <v>25</v>
      </c>
      <c r="J108" s="6">
        <v>25</v>
      </c>
      <c r="K108" t="s">
        <v>44</v>
      </c>
      <c r="L108" s="1">
        <v>45755</v>
      </c>
      <c r="M108" s="4">
        <f t="shared" si="1"/>
        <v>2110</v>
      </c>
      <c r="N108" t="str">
        <f t="shared" si="2"/>
        <v>Reorder</v>
      </c>
    </row>
    <row r="109" spans="1:14">
      <c r="A109" t="s">
        <v>377</v>
      </c>
      <c r="B109" t="s">
        <v>378</v>
      </c>
      <c r="C109" t="s">
        <v>379</v>
      </c>
      <c r="D109" t="s">
        <v>17</v>
      </c>
      <c r="E109" t="s">
        <v>64</v>
      </c>
      <c r="F109" t="s">
        <v>59</v>
      </c>
      <c r="G109" s="4">
        <v>75.84</v>
      </c>
      <c r="H109" s="4">
        <v>181.53</v>
      </c>
      <c r="I109" s="6">
        <v>52</v>
      </c>
      <c r="J109" s="6">
        <v>15</v>
      </c>
      <c r="K109" t="s">
        <v>26</v>
      </c>
      <c r="L109" s="1">
        <v>45920</v>
      </c>
      <c r="M109" s="4">
        <f t="shared" si="1"/>
        <v>3943.6800000000003</v>
      </c>
      <c r="N109" t="str">
        <f t="shared" si="2"/>
        <v>Sufficient Stock</v>
      </c>
    </row>
    <row r="110" spans="1:14">
      <c r="A110" t="s">
        <v>380</v>
      </c>
      <c r="B110" t="s">
        <v>381</v>
      </c>
      <c r="C110" t="s">
        <v>382</v>
      </c>
      <c r="D110" t="s">
        <v>42</v>
      </c>
      <c r="E110" t="s">
        <v>24</v>
      </c>
      <c r="F110" t="s">
        <v>37</v>
      </c>
      <c r="G110" s="4">
        <v>13.04</v>
      </c>
      <c r="H110" s="4">
        <v>31.11</v>
      </c>
      <c r="I110" s="6">
        <v>24</v>
      </c>
      <c r="J110" s="6">
        <v>10</v>
      </c>
      <c r="K110" t="s">
        <v>20</v>
      </c>
      <c r="L110" s="1">
        <v>45888</v>
      </c>
      <c r="M110" s="4">
        <f t="shared" si="1"/>
        <v>312.95999999999998</v>
      </c>
      <c r="N110" t="str">
        <f t="shared" si="2"/>
        <v>Sufficient Stock</v>
      </c>
    </row>
    <row r="111" spans="1:14">
      <c r="A111" t="s">
        <v>383</v>
      </c>
      <c r="B111" t="s">
        <v>384</v>
      </c>
      <c r="C111" t="s">
        <v>385</v>
      </c>
      <c r="D111" t="s">
        <v>30</v>
      </c>
      <c r="E111" t="s">
        <v>146</v>
      </c>
      <c r="F111" t="s">
        <v>74</v>
      </c>
      <c r="G111" s="4">
        <v>18.93</v>
      </c>
      <c r="H111" s="4">
        <v>38.590000000000003</v>
      </c>
      <c r="I111" s="6">
        <v>163</v>
      </c>
      <c r="J111" s="6">
        <v>10</v>
      </c>
      <c r="K111" t="s">
        <v>38</v>
      </c>
      <c r="L111" s="1">
        <v>45810</v>
      </c>
      <c r="M111" s="4">
        <f t="shared" si="1"/>
        <v>3085.59</v>
      </c>
      <c r="N111" t="str">
        <f t="shared" si="2"/>
        <v>Sufficient Stock</v>
      </c>
    </row>
    <row r="112" spans="1:14">
      <c r="A112" t="s">
        <v>386</v>
      </c>
      <c r="B112" t="s">
        <v>387</v>
      </c>
      <c r="C112" t="s">
        <v>388</v>
      </c>
      <c r="D112" t="s">
        <v>36</v>
      </c>
      <c r="E112" t="s">
        <v>146</v>
      </c>
      <c r="F112" t="s">
        <v>101</v>
      </c>
      <c r="G112" s="4">
        <v>31.83</v>
      </c>
      <c r="H112" s="4">
        <v>66.64</v>
      </c>
      <c r="I112" s="6">
        <v>252</v>
      </c>
      <c r="J112" s="6">
        <v>40</v>
      </c>
      <c r="K112" t="s">
        <v>50</v>
      </c>
      <c r="L112" s="1">
        <v>46170</v>
      </c>
      <c r="M112" s="4">
        <f t="shared" si="1"/>
        <v>8021.16</v>
      </c>
      <c r="N112" t="str">
        <f t="shared" si="2"/>
        <v>Sufficient Stock</v>
      </c>
    </row>
    <row r="113" spans="1:14">
      <c r="A113" t="s">
        <v>389</v>
      </c>
      <c r="B113" t="s">
        <v>390</v>
      </c>
      <c r="C113" t="s">
        <v>391</v>
      </c>
      <c r="D113" t="s">
        <v>36</v>
      </c>
      <c r="E113" t="s">
        <v>18</v>
      </c>
      <c r="F113" t="s">
        <v>37</v>
      </c>
      <c r="G113" s="4">
        <v>48.14</v>
      </c>
      <c r="H113" s="4">
        <v>92.78</v>
      </c>
      <c r="I113" s="6">
        <v>206</v>
      </c>
      <c r="J113" s="6">
        <v>10</v>
      </c>
      <c r="K113" t="s">
        <v>44</v>
      </c>
      <c r="L113" s="1">
        <v>45334</v>
      </c>
      <c r="M113" s="4">
        <f t="shared" si="1"/>
        <v>9916.84</v>
      </c>
      <c r="N113" t="str">
        <f t="shared" si="2"/>
        <v>Sufficient Stock</v>
      </c>
    </row>
    <row r="114" spans="1:14">
      <c r="A114" t="s">
        <v>392</v>
      </c>
      <c r="B114" t="s">
        <v>393</v>
      </c>
      <c r="C114" t="s">
        <v>394</v>
      </c>
      <c r="D114" t="s">
        <v>17</v>
      </c>
      <c r="E114" t="s">
        <v>121</v>
      </c>
      <c r="F114" t="s">
        <v>25</v>
      </c>
      <c r="G114" s="4">
        <v>74.040000000000006</v>
      </c>
      <c r="H114" s="4">
        <v>138.47999999999999</v>
      </c>
      <c r="I114" s="6">
        <v>61</v>
      </c>
      <c r="J114" s="6">
        <v>25</v>
      </c>
      <c r="K114" t="s">
        <v>20</v>
      </c>
      <c r="L114" s="1">
        <v>45541</v>
      </c>
      <c r="M114" s="4">
        <f t="shared" si="1"/>
        <v>4516.4400000000005</v>
      </c>
      <c r="N114" t="str">
        <f t="shared" si="2"/>
        <v>Sufficient Stock</v>
      </c>
    </row>
    <row r="115" spans="1:14">
      <c r="A115" t="s">
        <v>395</v>
      </c>
      <c r="B115" t="s">
        <v>396</v>
      </c>
      <c r="C115" t="s">
        <v>397</v>
      </c>
      <c r="D115" t="s">
        <v>42</v>
      </c>
      <c r="E115" t="s">
        <v>184</v>
      </c>
      <c r="F115" t="s">
        <v>49</v>
      </c>
      <c r="G115" s="4">
        <v>19.87</v>
      </c>
      <c r="H115" s="4">
        <v>47.7</v>
      </c>
      <c r="I115" s="6">
        <v>4</v>
      </c>
      <c r="J115" s="6">
        <v>10</v>
      </c>
      <c r="K115" t="s">
        <v>44</v>
      </c>
      <c r="L115" s="1">
        <v>45370</v>
      </c>
      <c r="M115" s="4">
        <f t="shared" si="1"/>
        <v>79.48</v>
      </c>
      <c r="N115" t="str">
        <f t="shared" si="2"/>
        <v>Reorder</v>
      </c>
    </row>
    <row r="116" spans="1:14">
      <c r="A116" t="s">
        <v>398</v>
      </c>
      <c r="B116" t="s">
        <v>399</v>
      </c>
      <c r="C116" t="s">
        <v>400</v>
      </c>
      <c r="D116" t="s">
        <v>191</v>
      </c>
      <c r="E116" t="s">
        <v>55</v>
      </c>
      <c r="F116" t="s">
        <v>65</v>
      </c>
      <c r="G116" s="4">
        <v>60.26</v>
      </c>
      <c r="H116" s="4">
        <v>101.34</v>
      </c>
      <c r="I116" s="6">
        <v>157</v>
      </c>
      <c r="J116" s="6">
        <v>30</v>
      </c>
      <c r="K116" t="s">
        <v>44</v>
      </c>
      <c r="L116" s="1">
        <v>45878</v>
      </c>
      <c r="M116" s="4">
        <f t="shared" si="1"/>
        <v>9460.82</v>
      </c>
      <c r="N116" t="str">
        <f t="shared" si="2"/>
        <v>Sufficient Stock</v>
      </c>
    </row>
    <row r="117" spans="1:14">
      <c r="A117" t="s">
        <v>401</v>
      </c>
      <c r="B117" t="s">
        <v>402</v>
      </c>
      <c r="C117" t="s">
        <v>403</v>
      </c>
      <c r="D117" t="s">
        <v>42</v>
      </c>
      <c r="E117" t="s">
        <v>184</v>
      </c>
      <c r="F117" t="s">
        <v>19</v>
      </c>
      <c r="G117" s="4">
        <v>32.67</v>
      </c>
      <c r="H117" s="4">
        <v>51.84</v>
      </c>
      <c r="I117" s="6">
        <v>250</v>
      </c>
      <c r="J117" s="6">
        <v>20</v>
      </c>
      <c r="K117" t="s">
        <v>50</v>
      </c>
      <c r="L117" s="1">
        <v>45941</v>
      </c>
      <c r="M117" s="4">
        <f t="shared" si="1"/>
        <v>8167.5</v>
      </c>
      <c r="N117" t="str">
        <f t="shared" si="2"/>
        <v>Sufficient Stock</v>
      </c>
    </row>
    <row r="118" spans="1:14">
      <c r="A118" t="s">
        <v>404</v>
      </c>
      <c r="B118" t="s">
        <v>405</v>
      </c>
      <c r="C118" t="s">
        <v>406</v>
      </c>
      <c r="D118" t="s">
        <v>36</v>
      </c>
      <c r="E118" t="s">
        <v>146</v>
      </c>
      <c r="F118" t="s">
        <v>32</v>
      </c>
      <c r="G118" s="4">
        <v>17.649999999999999</v>
      </c>
      <c r="H118" s="4">
        <v>32.76</v>
      </c>
      <c r="I118" s="6">
        <v>112</v>
      </c>
      <c r="J118" s="6">
        <v>15</v>
      </c>
      <c r="K118" t="s">
        <v>44</v>
      </c>
      <c r="L118" s="1">
        <v>45924</v>
      </c>
      <c r="M118" s="4">
        <f t="shared" si="1"/>
        <v>1976.7999999999997</v>
      </c>
      <c r="N118" t="str">
        <f t="shared" si="2"/>
        <v>Sufficient Stock</v>
      </c>
    </row>
    <row r="119" spans="1:14">
      <c r="A119" t="s">
        <v>407</v>
      </c>
      <c r="B119" t="s">
        <v>408</v>
      </c>
      <c r="C119" t="s">
        <v>409</v>
      </c>
      <c r="D119" t="s">
        <v>54</v>
      </c>
      <c r="E119" t="s">
        <v>83</v>
      </c>
      <c r="F119" t="s">
        <v>37</v>
      </c>
      <c r="G119" s="4">
        <v>54.43</v>
      </c>
      <c r="H119" s="4">
        <v>90</v>
      </c>
      <c r="I119" s="6">
        <v>237</v>
      </c>
      <c r="J119" s="6">
        <v>25</v>
      </c>
      <c r="K119" t="s">
        <v>38</v>
      </c>
      <c r="L119" s="1">
        <v>45429</v>
      </c>
      <c r="M119" s="4">
        <f t="shared" si="1"/>
        <v>12899.91</v>
      </c>
      <c r="N119" t="str">
        <f t="shared" si="2"/>
        <v>Sufficient Stock</v>
      </c>
    </row>
    <row r="120" spans="1:14">
      <c r="A120" t="s">
        <v>410</v>
      </c>
      <c r="B120" t="s">
        <v>411</v>
      </c>
      <c r="C120" t="s">
        <v>412</v>
      </c>
      <c r="D120" t="s">
        <v>42</v>
      </c>
      <c r="E120" t="s">
        <v>31</v>
      </c>
      <c r="F120" t="s">
        <v>159</v>
      </c>
      <c r="G120" s="4">
        <v>60.08</v>
      </c>
      <c r="H120" s="4">
        <v>99.62</v>
      </c>
      <c r="I120" s="6">
        <v>28</v>
      </c>
      <c r="J120" s="6">
        <v>12</v>
      </c>
      <c r="K120" t="s">
        <v>38</v>
      </c>
      <c r="L120" s="1">
        <v>45798</v>
      </c>
      <c r="M120" s="4">
        <f t="shared" si="1"/>
        <v>1682.24</v>
      </c>
      <c r="N120" t="str">
        <f t="shared" si="2"/>
        <v>Sufficient Stock</v>
      </c>
    </row>
    <row r="121" spans="1:14">
      <c r="A121" t="s">
        <v>413</v>
      </c>
      <c r="B121" t="s">
        <v>414</v>
      </c>
      <c r="C121" t="s">
        <v>415</v>
      </c>
      <c r="D121" t="s">
        <v>198</v>
      </c>
      <c r="E121" t="s">
        <v>64</v>
      </c>
      <c r="F121" t="s">
        <v>74</v>
      </c>
      <c r="G121" s="4">
        <v>25.66</v>
      </c>
      <c r="H121" s="4">
        <v>39.450000000000003</v>
      </c>
      <c r="I121" s="6">
        <v>140</v>
      </c>
      <c r="J121" s="6">
        <v>40</v>
      </c>
      <c r="K121" t="s">
        <v>38</v>
      </c>
      <c r="L121" s="1">
        <v>45862</v>
      </c>
      <c r="M121" s="4">
        <f t="shared" si="1"/>
        <v>3592.4</v>
      </c>
      <c r="N121" t="str">
        <f t="shared" si="2"/>
        <v>Sufficient Stock</v>
      </c>
    </row>
    <row r="122" spans="1:14">
      <c r="A122" t="s">
        <v>416</v>
      </c>
      <c r="B122" t="s">
        <v>417</v>
      </c>
      <c r="C122" t="s">
        <v>418</v>
      </c>
      <c r="D122" t="s">
        <v>17</v>
      </c>
      <c r="E122" t="s">
        <v>146</v>
      </c>
      <c r="F122" t="s">
        <v>49</v>
      </c>
      <c r="G122" s="4">
        <v>35.119999999999997</v>
      </c>
      <c r="H122" s="4">
        <v>54.34</v>
      </c>
      <c r="I122" s="6">
        <v>47</v>
      </c>
      <c r="J122" s="6">
        <v>25</v>
      </c>
      <c r="K122" t="s">
        <v>50</v>
      </c>
      <c r="L122" s="1">
        <v>46119</v>
      </c>
      <c r="M122" s="4">
        <f t="shared" si="1"/>
        <v>1650.6399999999999</v>
      </c>
      <c r="N122" t="str">
        <f t="shared" si="2"/>
        <v>Sufficient Stock</v>
      </c>
    </row>
    <row r="123" spans="1:14">
      <c r="A123" t="s">
        <v>419</v>
      </c>
      <c r="B123" t="s">
        <v>420</v>
      </c>
      <c r="C123" t="s">
        <v>421</v>
      </c>
      <c r="D123" t="s">
        <v>73</v>
      </c>
      <c r="E123" t="s">
        <v>83</v>
      </c>
      <c r="F123" t="s">
        <v>101</v>
      </c>
      <c r="G123" s="4">
        <v>83.36</v>
      </c>
      <c r="H123" s="4">
        <v>116.47</v>
      </c>
      <c r="I123" s="6">
        <v>160</v>
      </c>
      <c r="J123" s="6">
        <v>12</v>
      </c>
      <c r="K123" t="s">
        <v>44</v>
      </c>
      <c r="L123" s="1">
        <v>45330</v>
      </c>
      <c r="M123" s="4">
        <f t="shared" si="1"/>
        <v>13337.6</v>
      </c>
      <c r="N123" t="str">
        <f t="shared" si="2"/>
        <v>Sufficient Stock</v>
      </c>
    </row>
    <row r="124" spans="1:14">
      <c r="A124" t="s">
        <v>422</v>
      </c>
      <c r="B124" t="s">
        <v>423</v>
      </c>
      <c r="C124" t="s">
        <v>424</v>
      </c>
      <c r="D124" t="s">
        <v>17</v>
      </c>
      <c r="E124" t="s">
        <v>43</v>
      </c>
      <c r="F124" t="s">
        <v>19</v>
      </c>
      <c r="G124" s="4">
        <v>18.66</v>
      </c>
      <c r="H124" s="4">
        <v>41.69</v>
      </c>
      <c r="I124" s="6">
        <v>79</v>
      </c>
      <c r="J124" s="6">
        <v>40</v>
      </c>
      <c r="K124" t="s">
        <v>20</v>
      </c>
      <c r="L124" s="1">
        <v>45703</v>
      </c>
      <c r="M124" s="4">
        <f t="shared" si="1"/>
        <v>1474.14</v>
      </c>
      <c r="N124" t="str">
        <f t="shared" si="2"/>
        <v>Sufficient Stock</v>
      </c>
    </row>
    <row r="125" spans="1:14">
      <c r="A125" t="s">
        <v>425</v>
      </c>
      <c r="B125" t="s">
        <v>426</v>
      </c>
      <c r="C125" t="s">
        <v>427</v>
      </c>
      <c r="D125" t="s">
        <v>42</v>
      </c>
      <c r="E125" t="s">
        <v>83</v>
      </c>
      <c r="F125" t="s">
        <v>59</v>
      </c>
      <c r="G125" s="4">
        <v>83.79</v>
      </c>
      <c r="H125" s="4">
        <v>157.12</v>
      </c>
      <c r="I125" s="6">
        <v>49</v>
      </c>
      <c r="J125" s="6">
        <v>30</v>
      </c>
      <c r="K125" t="s">
        <v>20</v>
      </c>
      <c r="L125" s="1">
        <v>46110</v>
      </c>
      <c r="M125" s="4">
        <f t="shared" si="1"/>
        <v>4105.71</v>
      </c>
      <c r="N125" t="str">
        <f t="shared" si="2"/>
        <v>Sufficient Stock</v>
      </c>
    </row>
    <row r="126" spans="1:14">
      <c r="A126" t="s">
        <v>428</v>
      </c>
      <c r="B126" t="s">
        <v>429</v>
      </c>
      <c r="C126" t="s">
        <v>430</v>
      </c>
      <c r="D126" t="s">
        <v>42</v>
      </c>
      <c r="E126" t="s">
        <v>184</v>
      </c>
      <c r="F126" t="s">
        <v>25</v>
      </c>
      <c r="G126" s="4">
        <v>17.579999999999998</v>
      </c>
      <c r="H126" s="4">
        <v>28.48</v>
      </c>
      <c r="I126" s="6">
        <v>123</v>
      </c>
      <c r="J126" s="6">
        <v>5</v>
      </c>
      <c r="K126" t="s">
        <v>20</v>
      </c>
      <c r="L126" s="1">
        <v>45393</v>
      </c>
      <c r="M126" s="4">
        <f t="shared" si="1"/>
        <v>2162.3399999999997</v>
      </c>
      <c r="N126" t="str">
        <f t="shared" si="2"/>
        <v>Sufficient Stock</v>
      </c>
    </row>
    <row r="127" spans="1:14">
      <c r="A127" t="s">
        <v>431</v>
      </c>
      <c r="B127" t="s">
        <v>432</v>
      </c>
      <c r="C127" t="s">
        <v>433</v>
      </c>
      <c r="D127" t="s">
        <v>30</v>
      </c>
      <c r="E127" t="s">
        <v>83</v>
      </c>
      <c r="F127" t="s">
        <v>59</v>
      </c>
      <c r="G127" s="4">
        <v>18.5</v>
      </c>
      <c r="H127" s="4">
        <v>33.99</v>
      </c>
      <c r="I127" s="6">
        <v>44</v>
      </c>
      <c r="J127" s="6">
        <v>30</v>
      </c>
      <c r="K127" t="s">
        <v>26</v>
      </c>
      <c r="L127" s="1">
        <v>46300</v>
      </c>
      <c r="M127" s="4">
        <f t="shared" si="1"/>
        <v>814</v>
      </c>
      <c r="N127" t="str">
        <f t="shared" si="2"/>
        <v>Sufficient Stock</v>
      </c>
    </row>
    <row r="128" spans="1:14">
      <c r="A128" t="s">
        <v>434</v>
      </c>
      <c r="B128" t="s">
        <v>435</v>
      </c>
      <c r="C128" t="s">
        <v>436</v>
      </c>
      <c r="D128" t="s">
        <v>191</v>
      </c>
      <c r="E128" t="s">
        <v>43</v>
      </c>
      <c r="F128" t="s">
        <v>32</v>
      </c>
      <c r="G128" s="4">
        <v>84.86</v>
      </c>
      <c r="H128" s="4">
        <v>153.63999999999999</v>
      </c>
      <c r="I128" s="6">
        <v>21</v>
      </c>
      <c r="J128" s="6">
        <v>10</v>
      </c>
      <c r="K128" t="s">
        <v>44</v>
      </c>
      <c r="L128" s="1">
        <v>45598</v>
      </c>
      <c r="M128" s="4">
        <f t="shared" si="1"/>
        <v>1782.06</v>
      </c>
      <c r="N128" t="str">
        <f t="shared" si="2"/>
        <v>Sufficient Stock</v>
      </c>
    </row>
    <row r="129" spans="1:14">
      <c r="A129" t="s">
        <v>437</v>
      </c>
      <c r="B129" t="s">
        <v>438</v>
      </c>
      <c r="C129" t="s">
        <v>439</v>
      </c>
      <c r="D129" t="s">
        <v>17</v>
      </c>
      <c r="E129" t="s">
        <v>18</v>
      </c>
      <c r="F129" t="s">
        <v>19</v>
      </c>
      <c r="G129" s="4">
        <v>50.6</v>
      </c>
      <c r="H129" s="4">
        <v>102.76</v>
      </c>
      <c r="I129" s="6">
        <v>104</v>
      </c>
      <c r="J129" s="6">
        <v>10</v>
      </c>
      <c r="K129" t="s">
        <v>44</v>
      </c>
      <c r="L129" s="1">
        <v>45681</v>
      </c>
      <c r="M129" s="4">
        <f t="shared" si="1"/>
        <v>5262.4000000000005</v>
      </c>
      <c r="N129" t="str">
        <f t="shared" si="2"/>
        <v>Sufficient Stock</v>
      </c>
    </row>
    <row r="130" spans="1:14">
      <c r="A130" t="s">
        <v>440</v>
      </c>
      <c r="B130" t="s">
        <v>441</v>
      </c>
      <c r="C130" t="s">
        <v>442</v>
      </c>
      <c r="D130" t="s">
        <v>17</v>
      </c>
      <c r="E130" t="s">
        <v>48</v>
      </c>
      <c r="F130" t="s">
        <v>65</v>
      </c>
      <c r="G130" s="4">
        <v>12.38</v>
      </c>
      <c r="H130" s="4">
        <v>24.31</v>
      </c>
      <c r="I130" s="6">
        <v>61</v>
      </c>
      <c r="J130" s="6">
        <v>12</v>
      </c>
      <c r="K130" t="s">
        <v>44</v>
      </c>
      <c r="L130" s="1">
        <v>45509</v>
      </c>
      <c r="M130" s="4">
        <f t="shared" ref="M130:M193" si="3">IF(I130="","Unavailable",G130*I130)</f>
        <v>755.18000000000006</v>
      </c>
      <c r="N130" t="str">
        <f t="shared" ref="N130:N193" si="4">IF(I130="","Unavailable",IF(I130&lt;=J130,"Reorder","Sufficient Stock"))</f>
        <v>Sufficient Stock</v>
      </c>
    </row>
    <row r="131" spans="1:14">
      <c r="A131" t="s">
        <v>443</v>
      </c>
      <c r="B131" t="s">
        <v>444</v>
      </c>
      <c r="C131" t="s">
        <v>445</v>
      </c>
      <c r="D131" t="s">
        <v>42</v>
      </c>
      <c r="E131" t="s">
        <v>48</v>
      </c>
      <c r="F131" t="s">
        <v>59</v>
      </c>
      <c r="G131" s="4">
        <v>77.06</v>
      </c>
      <c r="H131" s="4">
        <v>108.82</v>
      </c>
      <c r="I131" s="6">
        <v>202</v>
      </c>
      <c r="J131" s="6">
        <v>15</v>
      </c>
      <c r="K131" t="s">
        <v>44</v>
      </c>
      <c r="L131" s="1">
        <v>45967</v>
      </c>
      <c r="M131" s="4">
        <f t="shared" si="3"/>
        <v>15566.12</v>
      </c>
      <c r="N131" t="str">
        <f t="shared" si="4"/>
        <v>Sufficient Stock</v>
      </c>
    </row>
    <row r="132" spans="1:14">
      <c r="A132" t="s">
        <v>446</v>
      </c>
      <c r="B132" t="s">
        <v>447</v>
      </c>
      <c r="C132" t="s">
        <v>448</v>
      </c>
      <c r="D132" t="s">
        <v>42</v>
      </c>
      <c r="E132" t="s">
        <v>146</v>
      </c>
      <c r="F132" t="s">
        <v>59</v>
      </c>
      <c r="G132" s="4">
        <v>18.420000000000002</v>
      </c>
      <c r="H132" s="4">
        <v>35.99</v>
      </c>
      <c r="I132" s="6">
        <v>46</v>
      </c>
      <c r="J132" s="6">
        <v>12</v>
      </c>
      <c r="K132" t="s">
        <v>44</v>
      </c>
      <c r="L132" s="1">
        <v>45837</v>
      </c>
      <c r="M132" s="4">
        <f t="shared" si="3"/>
        <v>847.32</v>
      </c>
      <c r="N132" t="str">
        <f t="shared" si="4"/>
        <v>Sufficient Stock</v>
      </c>
    </row>
    <row r="133" spans="1:14">
      <c r="A133" t="s">
        <v>449</v>
      </c>
      <c r="B133" t="s">
        <v>450</v>
      </c>
      <c r="C133" t="s">
        <v>451</v>
      </c>
      <c r="D133" t="s">
        <v>191</v>
      </c>
      <c r="E133" t="s">
        <v>55</v>
      </c>
      <c r="F133" t="s">
        <v>32</v>
      </c>
      <c r="G133" s="4">
        <v>64.25</v>
      </c>
      <c r="H133" s="4">
        <v>115.48</v>
      </c>
      <c r="I133" s="6">
        <v>77</v>
      </c>
      <c r="J133" s="6">
        <v>12</v>
      </c>
      <c r="K133" t="s">
        <v>97</v>
      </c>
      <c r="L133" s="1">
        <v>45342</v>
      </c>
      <c r="M133" s="4">
        <f t="shared" si="3"/>
        <v>4947.25</v>
      </c>
      <c r="N133" t="str">
        <f t="shared" si="4"/>
        <v>Sufficient Stock</v>
      </c>
    </row>
    <row r="134" spans="1:14">
      <c r="A134" t="s">
        <v>452</v>
      </c>
      <c r="B134" t="s">
        <v>453</v>
      </c>
      <c r="C134" t="s">
        <v>454</v>
      </c>
      <c r="D134" t="s">
        <v>63</v>
      </c>
      <c r="E134" t="s">
        <v>31</v>
      </c>
      <c r="F134" t="s">
        <v>37</v>
      </c>
      <c r="G134" s="4">
        <v>27.88</v>
      </c>
      <c r="H134" s="4">
        <v>57</v>
      </c>
      <c r="I134" s="6">
        <v>13</v>
      </c>
      <c r="J134" s="6">
        <v>20</v>
      </c>
      <c r="K134" t="s">
        <v>97</v>
      </c>
      <c r="L134" s="1">
        <v>45570</v>
      </c>
      <c r="M134" s="4">
        <f t="shared" si="3"/>
        <v>362.44</v>
      </c>
      <c r="N134" t="str">
        <f t="shared" si="4"/>
        <v>Reorder</v>
      </c>
    </row>
    <row r="135" spans="1:14">
      <c r="A135" t="s">
        <v>455</v>
      </c>
      <c r="B135" t="s">
        <v>456</v>
      </c>
      <c r="C135" t="s">
        <v>457</v>
      </c>
      <c r="D135" t="s">
        <v>198</v>
      </c>
      <c r="E135" t="s">
        <v>48</v>
      </c>
      <c r="F135" t="s">
        <v>101</v>
      </c>
      <c r="G135" s="4">
        <v>58.73</v>
      </c>
      <c r="H135" s="4">
        <v>117.65</v>
      </c>
      <c r="I135" s="6">
        <v>186</v>
      </c>
      <c r="J135" s="6">
        <v>5</v>
      </c>
      <c r="K135" t="s">
        <v>50</v>
      </c>
      <c r="L135" s="1">
        <v>46074</v>
      </c>
      <c r="M135" s="4">
        <f t="shared" si="3"/>
        <v>10923.779999999999</v>
      </c>
      <c r="N135" t="str">
        <f t="shared" si="4"/>
        <v>Sufficient Stock</v>
      </c>
    </row>
    <row r="136" spans="1:14">
      <c r="A136" t="s">
        <v>458</v>
      </c>
      <c r="B136" t="s">
        <v>459</v>
      </c>
      <c r="C136" t="s">
        <v>460</v>
      </c>
      <c r="D136" t="s">
        <v>73</v>
      </c>
      <c r="E136" t="s">
        <v>146</v>
      </c>
      <c r="F136" t="s">
        <v>19</v>
      </c>
      <c r="G136" s="4">
        <v>26.93</v>
      </c>
      <c r="H136" s="4">
        <v>45.62</v>
      </c>
      <c r="I136" s="6">
        <v>236</v>
      </c>
      <c r="J136" s="6">
        <v>5</v>
      </c>
      <c r="K136" t="s">
        <v>97</v>
      </c>
      <c r="L136" s="1">
        <v>45507</v>
      </c>
      <c r="M136" s="4">
        <f t="shared" si="3"/>
        <v>6355.48</v>
      </c>
      <c r="N136" t="str">
        <f t="shared" si="4"/>
        <v>Sufficient Stock</v>
      </c>
    </row>
    <row r="137" spans="1:14">
      <c r="A137" t="s">
        <v>461</v>
      </c>
      <c r="B137" t="s">
        <v>462</v>
      </c>
      <c r="C137" t="s">
        <v>463</v>
      </c>
      <c r="D137" t="s">
        <v>30</v>
      </c>
      <c r="E137" t="s">
        <v>18</v>
      </c>
      <c r="F137" t="s">
        <v>74</v>
      </c>
      <c r="G137" s="4">
        <v>75.78</v>
      </c>
      <c r="H137" s="4">
        <v>138.74</v>
      </c>
      <c r="I137" s="6">
        <v>99</v>
      </c>
      <c r="J137" s="6">
        <v>40</v>
      </c>
      <c r="K137" t="s">
        <v>44</v>
      </c>
      <c r="L137" s="1">
        <v>45579</v>
      </c>
      <c r="M137" s="4">
        <f t="shared" si="3"/>
        <v>7502.22</v>
      </c>
      <c r="N137" t="str">
        <f t="shared" si="4"/>
        <v>Sufficient Stock</v>
      </c>
    </row>
    <row r="138" spans="1:14">
      <c r="A138" t="s">
        <v>464</v>
      </c>
      <c r="B138" t="s">
        <v>465</v>
      </c>
      <c r="C138" t="s">
        <v>466</v>
      </c>
      <c r="D138" t="s">
        <v>17</v>
      </c>
      <c r="E138" t="s">
        <v>121</v>
      </c>
      <c r="F138" t="s">
        <v>19</v>
      </c>
      <c r="G138" s="4">
        <v>73.03</v>
      </c>
      <c r="H138" s="4">
        <v>130.94999999999999</v>
      </c>
      <c r="I138" s="6">
        <v>55</v>
      </c>
      <c r="J138" s="6">
        <v>12</v>
      </c>
      <c r="K138" t="s">
        <v>38</v>
      </c>
      <c r="L138" s="1">
        <v>45484</v>
      </c>
      <c r="M138" s="4">
        <f t="shared" si="3"/>
        <v>4016.65</v>
      </c>
      <c r="N138" t="str">
        <f t="shared" si="4"/>
        <v>Sufficient Stock</v>
      </c>
    </row>
    <row r="139" spans="1:14">
      <c r="A139" t="s">
        <v>467</v>
      </c>
      <c r="B139" t="s">
        <v>468</v>
      </c>
      <c r="C139" t="s">
        <v>469</v>
      </c>
      <c r="D139" t="s">
        <v>42</v>
      </c>
      <c r="E139" t="s">
        <v>83</v>
      </c>
      <c r="F139" t="s">
        <v>25</v>
      </c>
      <c r="G139" s="4">
        <v>12.81</v>
      </c>
      <c r="H139" s="4">
        <v>24.95</v>
      </c>
      <c r="I139" s="6">
        <v>201</v>
      </c>
      <c r="J139" s="6">
        <v>25</v>
      </c>
      <c r="K139" t="s">
        <v>97</v>
      </c>
      <c r="L139" s="1">
        <v>45711</v>
      </c>
      <c r="M139" s="4">
        <f t="shared" si="3"/>
        <v>2574.81</v>
      </c>
      <c r="N139" t="str">
        <f t="shared" si="4"/>
        <v>Sufficient Stock</v>
      </c>
    </row>
    <row r="140" spans="1:14">
      <c r="A140" t="s">
        <v>470</v>
      </c>
      <c r="B140" t="s">
        <v>471</v>
      </c>
      <c r="C140" t="s">
        <v>472</v>
      </c>
      <c r="D140" t="s">
        <v>54</v>
      </c>
      <c r="E140" t="s">
        <v>64</v>
      </c>
      <c r="F140" t="s">
        <v>101</v>
      </c>
      <c r="G140" s="4">
        <v>5.0199999999999996</v>
      </c>
      <c r="H140" s="4">
        <v>7.89</v>
      </c>
      <c r="I140" s="6">
        <v>185</v>
      </c>
      <c r="J140" s="6">
        <v>10</v>
      </c>
      <c r="K140" t="s">
        <v>44</v>
      </c>
      <c r="L140" s="1">
        <v>45399</v>
      </c>
      <c r="M140" s="4">
        <f t="shared" si="3"/>
        <v>928.69999999999993</v>
      </c>
      <c r="N140" t="str">
        <f t="shared" si="4"/>
        <v>Sufficient Stock</v>
      </c>
    </row>
    <row r="141" spans="1:14">
      <c r="A141" t="s">
        <v>473</v>
      </c>
      <c r="B141" t="s">
        <v>474</v>
      </c>
      <c r="C141" t="s">
        <v>475</v>
      </c>
      <c r="D141" t="s">
        <v>54</v>
      </c>
      <c r="E141" t="s">
        <v>24</v>
      </c>
      <c r="F141" t="s">
        <v>159</v>
      </c>
      <c r="G141" s="4">
        <v>55.58</v>
      </c>
      <c r="H141" s="4">
        <v>85.37</v>
      </c>
      <c r="I141" s="6">
        <v>138</v>
      </c>
      <c r="J141" s="6">
        <v>15</v>
      </c>
      <c r="K141" t="s">
        <v>20</v>
      </c>
      <c r="L141" s="1">
        <v>45774</v>
      </c>
      <c r="M141" s="4">
        <f t="shared" si="3"/>
        <v>7670.04</v>
      </c>
      <c r="N141" t="str">
        <f t="shared" si="4"/>
        <v>Sufficient Stock</v>
      </c>
    </row>
    <row r="142" spans="1:14">
      <c r="A142" t="s">
        <v>476</v>
      </c>
      <c r="B142" t="s">
        <v>477</v>
      </c>
      <c r="C142" t="s">
        <v>478</v>
      </c>
      <c r="D142" t="s">
        <v>36</v>
      </c>
      <c r="E142" t="s">
        <v>146</v>
      </c>
      <c r="F142" t="s">
        <v>25</v>
      </c>
      <c r="G142" s="4">
        <v>48.25</v>
      </c>
      <c r="H142" s="4">
        <v>86.71</v>
      </c>
      <c r="I142" s="6">
        <v>8</v>
      </c>
      <c r="J142" s="6">
        <v>10</v>
      </c>
      <c r="K142" t="s">
        <v>97</v>
      </c>
      <c r="L142" s="1">
        <v>45957</v>
      </c>
      <c r="M142" s="4">
        <f t="shared" si="3"/>
        <v>386</v>
      </c>
      <c r="N142" t="str">
        <f t="shared" si="4"/>
        <v>Reorder</v>
      </c>
    </row>
    <row r="143" spans="1:14">
      <c r="A143" t="s">
        <v>479</v>
      </c>
      <c r="B143" t="s">
        <v>480</v>
      </c>
      <c r="C143" t="s">
        <v>481</v>
      </c>
      <c r="D143" t="s">
        <v>30</v>
      </c>
      <c r="E143" t="s">
        <v>24</v>
      </c>
      <c r="F143" t="s">
        <v>59</v>
      </c>
      <c r="G143" s="4">
        <v>79.45</v>
      </c>
      <c r="H143" s="4">
        <v>119.9</v>
      </c>
      <c r="I143" s="6">
        <v>179</v>
      </c>
      <c r="J143" s="6">
        <v>5</v>
      </c>
      <c r="K143" t="s">
        <v>26</v>
      </c>
      <c r="L143" s="1">
        <v>45612</v>
      </c>
      <c r="M143" s="4">
        <f t="shared" si="3"/>
        <v>14221.550000000001</v>
      </c>
      <c r="N143" t="str">
        <f t="shared" si="4"/>
        <v>Sufficient Stock</v>
      </c>
    </row>
    <row r="144" spans="1:14">
      <c r="A144" t="s">
        <v>482</v>
      </c>
      <c r="B144" t="s">
        <v>483</v>
      </c>
      <c r="C144" t="s">
        <v>484</v>
      </c>
      <c r="D144" t="s">
        <v>17</v>
      </c>
      <c r="E144" t="s">
        <v>18</v>
      </c>
      <c r="F144" t="s">
        <v>25</v>
      </c>
      <c r="G144" s="4">
        <v>46.23</v>
      </c>
      <c r="H144" s="4">
        <v>69.39</v>
      </c>
      <c r="I144" s="6">
        <v>128</v>
      </c>
      <c r="J144" s="6">
        <v>10</v>
      </c>
      <c r="K144" t="s">
        <v>20</v>
      </c>
      <c r="L144" s="1">
        <v>45724</v>
      </c>
      <c r="M144" s="4">
        <f t="shared" si="3"/>
        <v>5917.44</v>
      </c>
      <c r="N144" t="str">
        <f t="shared" si="4"/>
        <v>Sufficient Stock</v>
      </c>
    </row>
    <row r="145" spans="1:14">
      <c r="A145" t="s">
        <v>485</v>
      </c>
      <c r="B145" t="s">
        <v>486</v>
      </c>
      <c r="C145" t="s">
        <v>487</v>
      </c>
      <c r="D145" t="s">
        <v>17</v>
      </c>
      <c r="E145" t="s">
        <v>146</v>
      </c>
      <c r="F145" t="s">
        <v>59</v>
      </c>
      <c r="G145" s="4">
        <v>35.54</v>
      </c>
      <c r="H145" s="4">
        <v>72.86</v>
      </c>
      <c r="I145" s="6">
        <v>116</v>
      </c>
      <c r="J145" s="6">
        <v>25</v>
      </c>
      <c r="K145" t="s">
        <v>50</v>
      </c>
      <c r="L145" s="1">
        <v>45562</v>
      </c>
      <c r="M145" s="4">
        <f t="shared" si="3"/>
        <v>4122.6400000000003</v>
      </c>
      <c r="N145" t="str">
        <f t="shared" si="4"/>
        <v>Sufficient Stock</v>
      </c>
    </row>
    <row r="146" spans="1:14">
      <c r="A146" t="s">
        <v>488</v>
      </c>
      <c r="B146" t="s">
        <v>489</v>
      </c>
      <c r="C146" t="s">
        <v>490</v>
      </c>
      <c r="D146" t="s">
        <v>191</v>
      </c>
      <c r="E146" t="s">
        <v>69</v>
      </c>
      <c r="F146" t="s">
        <v>101</v>
      </c>
      <c r="G146" s="4">
        <v>59.5</v>
      </c>
      <c r="H146" s="4">
        <v>93.73</v>
      </c>
      <c r="I146" s="6">
        <v>237</v>
      </c>
      <c r="J146" s="6">
        <v>40</v>
      </c>
      <c r="K146" t="s">
        <v>26</v>
      </c>
      <c r="L146" s="1">
        <v>46102</v>
      </c>
      <c r="M146" s="4">
        <f t="shared" si="3"/>
        <v>14101.5</v>
      </c>
      <c r="N146" t="str">
        <f t="shared" si="4"/>
        <v>Sufficient Stock</v>
      </c>
    </row>
    <row r="147" spans="1:14">
      <c r="A147" t="s">
        <v>491</v>
      </c>
      <c r="B147" t="s">
        <v>492</v>
      </c>
      <c r="C147" t="s">
        <v>493</v>
      </c>
      <c r="D147" t="s">
        <v>17</v>
      </c>
      <c r="E147" t="s">
        <v>18</v>
      </c>
      <c r="F147" t="s">
        <v>79</v>
      </c>
      <c r="G147" s="4">
        <v>34.28</v>
      </c>
      <c r="H147" s="4">
        <v>72.22</v>
      </c>
      <c r="I147" s="6">
        <v>146</v>
      </c>
      <c r="J147" s="6">
        <v>12</v>
      </c>
      <c r="K147" t="s">
        <v>44</v>
      </c>
      <c r="L147" s="1">
        <v>45816</v>
      </c>
      <c r="M147" s="4">
        <f t="shared" si="3"/>
        <v>5004.88</v>
      </c>
      <c r="N147" t="str">
        <f t="shared" si="4"/>
        <v>Sufficient Stock</v>
      </c>
    </row>
    <row r="148" spans="1:14">
      <c r="A148" t="s">
        <v>494</v>
      </c>
      <c r="B148" t="s">
        <v>495</v>
      </c>
      <c r="C148" t="s">
        <v>496</v>
      </c>
      <c r="D148" t="s">
        <v>42</v>
      </c>
      <c r="E148" t="s">
        <v>24</v>
      </c>
      <c r="F148" t="s">
        <v>74</v>
      </c>
      <c r="G148" s="4">
        <v>76.56</v>
      </c>
      <c r="H148" s="4">
        <v>156.25</v>
      </c>
      <c r="I148" s="6">
        <v>250</v>
      </c>
      <c r="J148" s="6">
        <v>20</v>
      </c>
      <c r="K148" t="s">
        <v>44</v>
      </c>
      <c r="L148" s="1">
        <v>45814</v>
      </c>
      <c r="M148" s="4">
        <f t="shared" si="3"/>
        <v>19140</v>
      </c>
      <c r="N148" t="str">
        <f t="shared" si="4"/>
        <v>Sufficient Stock</v>
      </c>
    </row>
    <row r="149" spans="1:14">
      <c r="A149" t="s">
        <v>497</v>
      </c>
      <c r="B149" t="s">
        <v>498</v>
      </c>
      <c r="C149" t="s">
        <v>499</v>
      </c>
      <c r="D149" t="s">
        <v>17</v>
      </c>
      <c r="E149" t="s">
        <v>64</v>
      </c>
      <c r="F149" t="s">
        <v>101</v>
      </c>
      <c r="G149" s="4">
        <v>52.97</v>
      </c>
      <c r="H149" s="4">
        <v>94.31</v>
      </c>
      <c r="I149" s="6">
        <v>26</v>
      </c>
      <c r="J149" s="6">
        <v>25</v>
      </c>
      <c r="K149" t="s">
        <v>26</v>
      </c>
      <c r="L149" s="1">
        <v>45989</v>
      </c>
      <c r="M149" s="4">
        <f t="shared" si="3"/>
        <v>1377.22</v>
      </c>
      <c r="N149" t="str">
        <f t="shared" si="4"/>
        <v>Sufficient Stock</v>
      </c>
    </row>
    <row r="150" spans="1:14">
      <c r="A150" t="s">
        <v>500</v>
      </c>
      <c r="B150" t="s">
        <v>501</v>
      </c>
      <c r="C150" t="s">
        <v>502</v>
      </c>
      <c r="D150" t="s">
        <v>42</v>
      </c>
      <c r="E150" t="s">
        <v>18</v>
      </c>
      <c r="F150" t="s">
        <v>49</v>
      </c>
      <c r="G150" s="4">
        <v>6.18</v>
      </c>
      <c r="H150" s="4">
        <v>11.25</v>
      </c>
      <c r="I150" s="6">
        <v>112</v>
      </c>
      <c r="J150" s="6">
        <v>15</v>
      </c>
      <c r="K150" t="s">
        <v>44</v>
      </c>
      <c r="L150" s="1">
        <v>45708</v>
      </c>
      <c r="M150" s="4">
        <f t="shared" si="3"/>
        <v>692.16</v>
      </c>
      <c r="N150" t="str">
        <f t="shared" si="4"/>
        <v>Sufficient Stock</v>
      </c>
    </row>
    <row r="151" spans="1:14">
      <c r="A151" t="s">
        <v>503</v>
      </c>
      <c r="B151" t="s">
        <v>504</v>
      </c>
      <c r="C151" t="s">
        <v>505</v>
      </c>
      <c r="D151" t="s">
        <v>78</v>
      </c>
      <c r="E151" t="s">
        <v>69</v>
      </c>
      <c r="F151" t="s">
        <v>25</v>
      </c>
      <c r="G151" s="4">
        <v>40.67</v>
      </c>
      <c r="H151" s="4">
        <v>55.36</v>
      </c>
      <c r="I151" s="6">
        <v>205</v>
      </c>
      <c r="J151" s="6">
        <v>20</v>
      </c>
      <c r="K151" t="s">
        <v>44</v>
      </c>
      <c r="L151" s="1">
        <v>45813</v>
      </c>
      <c r="M151" s="4">
        <f t="shared" si="3"/>
        <v>8337.35</v>
      </c>
      <c r="N151" t="str">
        <f t="shared" si="4"/>
        <v>Sufficient Stock</v>
      </c>
    </row>
    <row r="152" spans="1:14">
      <c r="A152" t="s">
        <v>506</v>
      </c>
      <c r="B152" t="s">
        <v>507</v>
      </c>
      <c r="C152" t="s">
        <v>508</v>
      </c>
      <c r="D152" t="s">
        <v>87</v>
      </c>
      <c r="E152" t="s">
        <v>83</v>
      </c>
      <c r="F152" t="s">
        <v>101</v>
      </c>
      <c r="G152" s="4">
        <v>28.15</v>
      </c>
      <c r="H152" s="4">
        <v>54.7</v>
      </c>
      <c r="I152" s="6">
        <v>65</v>
      </c>
      <c r="J152" s="6">
        <v>30</v>
      </c>
      <c r="K152" t="s">
        <v>44</v>
      </c>
      <c r="L152" s="1">
        <v>46088</v>
      </c>
      <c r="M152" s="4">
        <f t="shared" si="3"/>
        <v>1829.75</v>
      </c>
      <c r="N152" t="str">
        <f t="shared" si="4"/>
        <v>Sufficient Stock</v>
      </c>
    </row>
    <row r="153" spans="1:14">
      <c r="A153" t="s">
        <v>509</v>
      </c>
      <c r="B153" t="s">
        <v>510</v>
      </c>
      <c r="C153" t="s">
        <v>511</v>
      </c>
      <c r="D153" t="s">
        <v>30</v>
      </c>
      <c r="E153" t="s">
        <v>146</v>
      </c>
      <c r="F153" t="s">
        <v>101</v>
      </c>
      <c r="G153" s="4">
        <v>36.07</v>
      </c>
      <c r="H153" s="4">
        <v>60.68</v>
      </c>
      <c r="I153" s="6">
        <v>29</v>
      </c>
      <c r="J153" s="6">
        <v>40</v>
      </c>
      <c r="K153" t="s">
        <v>50</v>
      </c>
      <c r="L153" s="1">
        <v>45650</v>
      </c>
      <c r="M153" s="4">
        <f t="shared" si="3"/>
        <v>1046.03</v>
      </c>
      <c r="N153" t="str">
        <f t="shared" si="4"/>
        <v>Reorder</v>
      </c>
    </row>
    <row r="154" spans="1:14">
      <c r="A154" t="s">
        <v>512</v>
      </c>
      <c r="B154" t="s">
        <v>513</v>
      </c>
      <c r="C154" t="s">
        <v>514</v>
      </c>
      <c r="D154" t="s">
        <v>117</v>
      </c>
      <c r="E154" t="s">
        <v>55</v>
      </c>
      <c r="F154" t="s">
        <v>32</v>
      </c>
      <c r="G154" s="4">
        <v>54.03</v>
      </c>
      <c r="H154" s="4">
        <v>125.58</v>
      </c>
      <c r="I154" s="6">
        <v>209</v>
      </c>
      <c r="J154" s="6">
        <v>25</v>
      </c>
      <c r="K154" t="s">
        <v>44</v>
      </c>
      <c r="L154" s="1">
        <v>45800</v>
      </c>
      <c r="M154" s="4">
        <f t="shared" si="3"/>
        <v>11292.27</v>
      </c>
      <c r="N154" t="str">
        <f t="shared" si="4"/>
        <v>Sufficient Stock</v>
      </c>
    </row>
    <row r="155" spans="1:14">
      <c r="A155" t="s">
        <v>515</v>
      </c>
      <c r="B155" t="s">
        <v>516</v>
      </c>
      <c r="C155" t="s">
        <v>517</v>
      </c>
      <c r="D155" t="s">
        <v>17</v>
      </c>
      <c r="E155" t="s">
        <v>83</v>
      </c>
      <c r="F155" t="s">
        <v>49</v>
      </c>
      <c r="G155" s="4">
        <v>67.27</v>
      </c>
      <c r="H155" s="4">
        <v>120.98</v>
      </c>
      <c r="I155" s="6">
        <v>11</v>
      </c>
      <c r="J155" s="6">
        <v>5</v>
      </c>
      <c r="K155" t="s">
        <v>97</v>
      </c>
      <c r="L155" s="1">
        <v>45652</v>
      </c>
      <c r="M155" s="4">
        <f t="shared" si="3"/>
        <v>739.96999999999991</v>
      </c>
      <c r="N155" t="str">
        <f t="shared" si="4"/>
        <v>Sufficient Stock</v>
      </c>
    </row>
    <row r="156" spans="1:14">
      <c r="A156" t="s">
        <v>518</v>
      </c>
      <c r="B156" t="s">
        <v>519</v>
      </c>
      <c r="C156" t="s">
        <v>520</v>
      </c>
      <c r="D156" t="s">
        <v>17</v>
      </c>
      <c r="E156" t="s">
        <v>48</v>
      </c>
      <c r="F156" t="s">
        <v>79</v>
      </c>
      <c r="G156" s="4">
        <v>68.72</v>
      </c>
      <c r="H156" s="4">
        <v>165.28</v>
      </c>
      <c r="I156" s="6">
        <v>74</v>
      </c>
      <c r="J156" s="6">
        <v>20</v>
      </c>
      <c r="K156" t="s">
        <v>44</v>
      </c>
      <c r="L156" s="1">
        <v>45931</v>
      </c>
      <c r="M156" s="4">
        <f t="shared" si="3"/>
        <v>5085.28</v>
      </c>
      <c r="N156" t="str">
        <f t="shared" si="4"/>
        <v>Sufficient Stock</v>
      </c>
    </row>
    <row r="157" spans="1:14">
      <c r="A157" t="s">
        <v>521</v>
      </c>
      <c r="B157" t="s">
        <v>522</v>
      </c>
      <c r="C157" t="s">
        <v>523</v>
      </c>
      <c r="D157" t="s">
        <v>30</v>
      </c>
      <c r="E157" t="s">
        <v>83</v>
      </c>
      <c r="F157" t="s">
        <v>74</v>
      </c>
      <c r="G157" s="4">
        <v>69.349999999999994</v>
      </c>
      <c r="H157" s="4">
        <v>114.72</v>
      </c>
      <c r="I157" s="6">
        <v>136</v>
      </c>
      <c r="J157" s="6">
        <v>15</v>
      </c>
      <c r="K157" t="s">
        <v>44</v>
      </c>
      <c r="L157" s="1">
        <v>45420</v>
      </c>
      <c r="M157" s="4">
        <f t="shared" si="3"/>
        <v>9431.5999999999985</v>
      </c>
      <c r="N157" t="str">
        <f t="shared" si="4"/>
        <v>Sufficient Stock</v>
      </c>
    </row>
    <row r="158" spans="1:14">
      <c r="A158" t="s">
        <v>524</v>
      </c>
      <c r="B158" t="s">
        <v>525</v>
      </c>
      <c r="C158" t="s">
        <v>526</v>
      </c>
      <c r="D158" t="s">
        <v>42</v>
      </c>
      <c r="E158" t="s">
        <v>55</v>
      </c>
      <c r="F158" t="s">
        <v>32</v>
      </c>
      <c r="G158" s="4">
        <v>19.399999999999999</v>
      </c>
      <c r="H158" s="4">
        <v>35.409999999999997</v>
      </c>
      <c r="J158" s="6">
        <v>40</v>
      </c>
      <c r="K158" t="s">
        <v>97</v>
      </c>
      <c r="L158" s="1">
        <v>46208</v>
      </c>
      <c r="M158" s="4" t="str">
        <f t="shared" si="3"/>
        <v>Unavailable</v>
      </c>
      <c r="N158" t="str">
        <f t="shared" si="4"/>
        <v>Unavailable</v>
      </c>
    </row>
    <row r="159" spans="1:14">
      <c r="A159" t="s">
        <v>527</v>
      </c>
      <c r="B159" t="s">
        <v>528</v>
      </c>
      <c r="C159" t="s">
        <v>529</v>
      </c>
      <c r="D159" t="s">
        <v>30</v>
      </c>
      <c r="E159" t="s">
        <v>24</v>
      </c>
      <c r="F159" t="s">
        <v>32</v>
      </c>
      <c r="G159" s="4">
        <v>20.07</v>
      </c>
      <c r="H159" s="4">
        <v>49.05</v>
      </c>
      <c r="I159" s="6">
        <v>148</v>
      </c>
      <c r="J159" s="6">
        <v>20</v>
      </c>
      <c r="K159" t="s">
        <v>50</v>
      </c>
      <c r="L159" s="1">
        <v>46197</v>
      </c>
      <c r="M159" s="4">
        <f t="shared" si="3"/>
        <v>2970.36</v>
      </c>
      <c r="N159" t="str">
        <f t="shared" si="4"/>
        <v>Sufficient Stock</v>
      </c>
    </row>
    <row r="160" spans="1:14">
      <c r="A160" t="s">
        <v>530</v>
      </c>
      <c r="B160" t="s">
        <v>531</v>
      </c>
      <c r="C160" t="s">
        <v>532</v>
      </c>
      <c r="D160" t="s">
        <v>42</v>
      </c>
      <c r="E160" t="s">
        <v>69</v>
      </c>
      <c r="F160" t="s">
        <v>79</v>
      </c>
      <c r="G160" s="4">
        <v>7.43</v>
      </c>
      <c r="H160" s="4">
        <v>17.559999999999999</v>
      </c>
      <c r="I160" s="6">
        <v>18</v>
      </c>
      <c r="J160" s="6">
        <v>15</v>
      </c>
      <c r="K160" t="s">
        <v>20</v>
      </c>
      <c r="L160" s="1">
        <v>45735</v>
      </c>
      <c r="M160" s="4">
        <f t="shared" si="3"/>
        <v>133.74</v>
      </c>
      <c r="N160" t="str">
        <f t="shared" si="4"/>
        <v>Sufficient Stock</v>
      </c>
    </row>
    <row r="161" spans="1:14">
      <c r="A161" t="s">
        <v>533</v>
      </c>
      <c r="B161" t="s">
        <v>534</v>
      </c>
      <c r="C161" t="s">
        <v>535</v>
      </c>
      <c r="D161" t="s">
        <v>42</v>
      </c>
      <c r="E161" t="s">
        <v>31</v>
      </c>
      <c r="F161" t="s">
        <v>19</v>
      </c>
      <c r="G161" s="4">
        <v>51.07</v>
      </c>
      <c r="H161" s="4">
        <v>123.84</v>
      </c>
      <c r="I161" s="6">
        <v>85</v>
      </c>
      <c r="J161" s="6">
        <v>40</v>
      </c>
      <c r="K161" t="s">
        <v>38</v>
      </c>
      <c r="L161" s="1">
        <v>45475</v>
      </c>
      <c r="M161" s="4">
        <f t="shared" si="3"/>
        <v>4340.95</v>
      </c>
      <c r="N161" t="str">
        <f t="shared" si="4"/>
        <v>Sufficient Stock</v>
      </c>
    </row>
    <row r="162" spans="1:14">
      <c r="A162" t="s">
        <v>536</v>
      </c>
      <c r="B162" t="s">
        <v>537</v>
      </c>
      <c r="C162" t="s">
        <v>538</v>
      </c>
      <c r="D162" t="s">
        <v>17</v>
      </c>
      <c r="E162" t="s">
        <v>69</v>
      </c>
      <c r="F162" t="s">
        <v>79</v>
      </c>
      <c r="G162" s="4">
        <v>42.68</v>
      </c>
      <c r="H162" s="4">
        <v>75.06</v>
      </c>
      <c r="I162" s="6">
        <v>14</v>
      </c>
      <c r="J162" s="6">
        <v>12</v>
      </c>
      <c r="K162" t="s">
        <v>38</v>
      </c>
      <c r="L162" s="1">
        <v>46057</v>
      </c>
      <c r="M162" s="4">
        <f t="shared" si="3"/>
        <v>597.52</v>
      </c>
      <c r="N162" t="str">
        <f t="shared" si="4"/>
        <v>Sufficient Stock</v>
      </c>
    </row>
    <row r="163" spans="1:14">
      <c r="A163" t="s">
        <v>539</v>
      </c>
      <c r="B163" t="s">
        <v>540</v>
      </c>
      <c r="C163" t="s">
        <v>541</v>
      </c>
      <c r="D163" t="s">
        <v>17</v>
      </c>
      <c r="E163" t="s">
        <v>48</v>
      </c>
      <c r="F163" t="s">
        <v>59</v>
      </c>
      <c r="G163" s="4">
        <v>81.45</v>
      </c>
      <c r="H163" s="4">
        <v>154.38</v>
      </c>
      <c r="I163" s="6">
        <v>256</v>
      </c>
      <c r="J163" s="6">
        <v>15</v>
      </c>
      <c r="K163" t="s">
        <v>44</v>
      </c>
      <c r="L163" s="1">
        <v>46253</v>
      </c>
      <c r="M163" s="4">
        <f t="shared" si="3"/>
        <v>20851.2</v>
      </c>
      <c r="N163" t="str">
        <f t="shared" si="4"/>
        <v>Sufficient Stock</v>
      </c>
    </row>
    <row r="164" spans="1:14">
      <c r="A164" t="s">
        <v>542</v>
      </c>
      <c r="B164" t="s">
        <v>543</v>
      </c>
      <c r="C164" t="s">
        <v>544</v>
      </c>
      <c r="D164" t="s">
        <v>42</v>
      </c>
      <c r="E164" t="s">
        <v>184</v>
      </c>
      <c r="F164" t="s">
        <v>101</v>
      </c>
      <c r="G164" s="4">
        <v>73.400000000000006</v>
      </c>
      <c r="H164" s="4">
        <v>101.88</v>
      </c>
      <c r="I164" s="6">
        <v>218</v>
      </c>
      <c r="J164" s="6">
        <v>20</v>
      </c>
      <c r="K164" t="s">
        <v>20</v>
      </c>
      <c r="L164" s="1">
        <v>45936</v>
      </c>
      <c r="M164" s="4">
        <f t="shared" si="3"/>
        <v>16001.2</v>
      </c>
      <c r="N164" t="str">
        <f t="shared" si="4"/>
        <v>Sufficient Stock</v>
      </c>
    </row>
    <row r="165" spans="1:14">
      <c r="A165" t="s">
        <v>545</v>
      </c>
      <c r="B165" t="s">
        <v>546</v>
      </c>
      <c r="C165" t="s">
        <v>547</v>
      </c>
      <c r="D165" t="s">
        <v>30</v>
      </c>
      <c r="E165" t="s">
        <v>18</v>
      </c>
      <c r="F165" t="s">
        <v>101</v>
      </c>
      <c r="G165" s="4">
        <v>70.77</v>
      </c>
      <c r="H165" s="4">
        <v>140.12</v>
      </c>
      <c r="I165" s="6">
        <v>184</v>
      </c>
      <c r="J165" s="6">
        <v>20</v>
      </c>
      <c r="K165" t="s">
        <v>20</v>
      </c>
      <c r="L165" s="1">
        <v>45966</v>
      </c>
      <c r="M165" s="4">
        <f t="shared" si="3"/>
        <v>13021.679999999998</v>
      </c>
      <c r="N165" t="str">
        <f t="shared" si="4"/>
        <v>Sufficient Stock</v>
      </c>
    </row>
    <row r="166" spans="1:14">
      <c r="A166" t="s">
        <v>548</v>
      </c>
      <c r="B166" t="s">
        <v>549</v>
      </c>
      <c r="C166" t="s">
        <v>550</v>
      </c>
      <c r="D166" t="s">
        <v>42</v>
      </c>
      <c r="E166" t="s">
        <v>31</v>
      </c>
      <c r="F166" t="s">
        <v>19</v>
      </c>
      <c r="G166" s="4">
        <v>25.74</v>
      </c>
      <c r="H166" s="4">
        <v>38.06</v>
      </c>
      <c r="I166" s="6">
        <v>0</v>
      </c>
      <c r="J166" s="6">
        <v>10</v>
      </c>
      <c r="K166" t="s">
        <v>20</v>
      </c>
      <c r="L166" s="1">
        <v>45716</v>
      </c>
      <c r="M166" s="4">
        <f t="shared" si="3"/>
        <v>0</v>
      </c>
      <c r="N166" t="str">
        <f t="shared" si="4"/>
        <v>Reorder</v>
      </c>
    </row>
    <row r="167" spans="1:14">
      <c r="A167" t="s">
        <v>551</v>
      </c>
      <c r="B167" t="s">
        <v>552</v>
      </c>
      <c r="C167" t="s">
        <v>553</v>
      </c>
      <c r="D167" t="s">
        <v>42</v>
      </c>
      <c r="E167" t="s">
        <v>83</v>
      </c>
      <c r="F167" t="s">
        <v>59</v>
      </c>
      <c r="G167" s="4">
        <v>71.180000000000007</v>
      </c>
      <c r="H167" s="4">
        <v>166.26</v>
      </c>
      <c r="I167" s="6">
        <v>36</v>
      </c>
      <c r="J167" s="6">
        <v>25</v>
      </c>
      <c r="K167" t="s">
        <v>20</v>
      </c>
      <c r="L167" s="1">
        <v>46154</v>
      </c>
      <c r="M167" s="4">
        <f t="shared" si="3"/>
        <v>2562.4800000000005</v>
      </c>
      <c r="N167" t="str">
        <f t="shared" si="4"/>
        <v>Sufficient Stock</v>
      </c>
    </row>
    <row r="168" spans="1:14">
      <c r="A168" t="s">
        <v>554</v>
      </c>
      <c r="B168" t="s">
        <v>555</v>
      </c>
      <c r="C168" t="s">
        <v>556</v>
      </c>
      <c r="D168" t="s">
        <v>17</v>
      </c>
      <c r="E168" t="s">
        <v>24</v>
      </c>
      <c r="F168" t="s">
        <v>159</v>
      </c>
      <c r="G168" s="4">
        <v>80.489999999999995</v>
      </c>
      <c r="H168" s="4">
        <v>191.78</v>
      </c>
      <c r="I168" s="6">
        <v>158</v>
      </c>
      <c r="J168" s="6">
        <v>30</v>
      </c>
      <c r="K168" t="s">
        <v>20</v>
      </c>
      <c r="L168" s="1">
        <v>45424</v>
      </c>
      <c r="M168" s="4">
        <f t="shared" si="3"/>
        <v>12717.42</v>
      </c>
      <c r="N168" t="str">
        <f t="shared" si="4"/>
        <v>Sufficient Stock</v>
      </c>
    </row>
    <row r="169" spans="1:14">
      <c r="A169" t="s">
        <v>557</v>
      </c>
      <c r="B169" t="s">
        <v>558</v>
      </c>
      <c r="C169" t="s">
        <v>559</v>
      </c>
      <c r="D169" t="s">
        <v>54</v>
      </c>
      <c r="E169" t="s">
        <v>18</v>
      </c>
      <c r="F169" t="s">
        <v>25</v>
      </c>
      <c r="G169" s="4">
        <v>54.78</v>
      </c>
      <c r="H169" s="4">
        <v>119.59</v>
      </c>
      <c r="I169" s="6">
        <v>25</v>
      </c>
      <c r="J169" s="6">
        <v>12</v>
      </c>
      <c r="K169" t="s">
        <v>38</v>
      </c>
      <c r="L169" s="1">
        <v>46011</v>
      </c>
      <c r="M169" s="4">
        <f t="shared" si="3"/>
        <v>1369.5</v>
      </c>
      <c r="N169" t="str">
        <f t="shared" si="4"/>
        <v>Sufficient Stock</v>
      </c>
    </row>
    <row r="170" spans="1:14">
      <c r="A170" t="s">
        <v>560</v>
      </c>
      <c r="B170" t="s">
        <v>561</v>
      </c>
      <c r="C170" t="s">
        <v>562</v>
      </c>
      <c r="D170" t="s">
        <v>17</v>
      </c>
      <c r="E170" t="s">
        <v>121</v>
      </c>
      <c r="F170" t="s">
        <v>32</v>
      </c>
      <c r="G170" s="4">
        <v>71.900000000000006</v>
      </c>
      <c r="H170" s="4">
        <v>140.57</v>
      </c>
      <c r="I170" s="6">
        <v>258</v>
      </c>
      <c r="J170" s="6">
        <v>5</v>
      </c>
      <c r="K170" t="s">
        <v>38</v>
      </c>
      <c r="L170" s="1">
        <v>45872</v>
      </c>
      <c r="M170" s="4">
        <f t="shared" si="3"/>
        <v>18550.2</v>
      </c>
      <c r="N170" t="str">
        <f t="shared" si="4"/>
        <v>Sufficient Stock</v>
      </c>
    </row>
    <row r="171" spans="1:14">
      <c r="A171" t="s">
        <v>563</v>
      </c>
      <c r="B171" t="s">
        <v>564</v>
      </c>
      <c r="C171" t="s">
        <v>565</v>
      </c>
      <c r="D171" t="s">
        <v>198</v>
      </c>
      <c r="E171" t="s">
        <v>24</v>
      </c>
      <c r="F171" t="s">
        <v>59</v>
      </c>
      <c r="G171" s="4">
        <v>54.05</v>
      </c>
      <c r="H171" s="4">
        <v>85.78</v>
      </c>
      <c r="I171" s="6">
        <v>195</v>
      </c>
      <c r="J171" s="6">
        <v>40</v>
      </c>
      <c r="K171" t="s">
        <v>44</v>
      </c>
      <c r="L171" s="1">
        <v>45945</v>
      </c>
      <c r="M171" s="4">
        <f t="shared" si="3"/>
        <v>10539.75</v>
      </c>
      <c r="N171" t="str">
        <f t="shared" si="4"/>
        <v>Sufficient Stock</v>
      </c>
    </row>
    <row r="172" spans="1:14">
      <c r="A172" t="s">
        <v>566</v>
      </c>
      <c r="B172" t="s">
        <v>567</v>
      </c>
      <c r="C172" t="s">
        <v>568</v>
      </c>
      <c r="D172" t="s">
        <v>87</v>
      </c>
      <c r="E172" t="s">
        <v>64</v>
      </c>
      <c r="F172" t="s">
        <v>32</v>
      </c>
      <c r="G172" s="4">
        <v>24.19</v>
      </c>
      <c r="H172" s="4">
        <v>51.78</v>
      </c>
      <c r="I172" s="6">
        <v>5</v>
      </c>
      <c r="J172" s="6">
        <v>25</v>
      </c>
      <c r="K172" t="s">
        <v>38</v>
      </c>
      <c r="L172" s="1">
        <v>45838</v>
      </c>
      <c r="M172" s="4">
        <f t="shared" si="3"/>
        <v>120.95</v>
      </c>
      <c r="N172" t="str">
        <f t="shared" si="4"/>
        <v>Reorder</v>
      </c>
    </row>
    <row r="173" spans="1:14">
      <c r="A173" t="s">
        <v>569</v>
      </c>
      <c r="B173" t="s">
        <v>570</v>
      </c>
      <c r="C173" t="s">
        <v>571</v>
      </c>
      <c r="D173" t="s">
        <v>30</v>
      </c>
      <c r="E173" t="s">
        <v>18</v>
      </c>
      <c r="F173" t="s">
        <v>49</v>
      </c>
      <c r="G173" s="4">
        <v>77.91</v>
      </c>
      <c r="H173" s="4">
        <v>169.39</v>
      </c>
      <c r="I173" s="6">
        <v>70</v>
      </c>
      <c r="J173" s="6">
        <v>25</v>
      </c>
      <c r="K173" t="s">
        <v>26</v>
      </c>
      <c r="L173" s="1">
        <v>45663</v>
      </c>
      <c r="M173" s="4">
        <f t="shared" si="3"/>
        <v>5453.7</v>
      </c>
      <c r="N173" t="str">
        <f t="shared" si="4"/>
        <v>Sufficient Stock</v>
      </c>
    </row>
    <row r="174" spans="1:14">
      <c r="A174" t="s">
        <v>572</v>
      </c>
      <c r="B174" t="s">
        <v>573</v>
      </c>
      <c r="C174" t="s">
        <v>574</v>
      </c>
      <c r="D174" t="s">
        <v>42</v>
      </c>
      <c r="E174" t="s">
        <v>24</v>
      </c>
      <c r="F174" t="s">
        <v>159</v>
      </c>
      <c r="G174" s="4">
        <v>23.87</v>
      </c>
      <c r="H174" s="4">
        <v>49.16</v>
      </c>
      <c r="I174" s="6">
        <v>204</v>
      </c>
      <c r="J174" s="6">
        <v>10</v>
      </c>
      <c r="K174" t="s">
        <v>44</v>
      </c>
      <c r="L174" s="1">
        <v>45735</v>
      </c>
      <c r="M174" s="4">
        <f t="shared" si="3"/>
        <v>4869.4800000000005</v>
      </c>
      <c r="N174" t="str">
        <f t="shared" si="4"/>
        <v>Sufficient Stock</v>
      </c>
    </row>
    <row r="175" spans="1:14">
      <c r="A175" t="s">
        <v>575</v>
      </c>
      <c r="B175" t="s">
        <v>576</v>
      </c>
      <c r="C175" t="s">
        <v>577</v>
      </c>
      <c r="D175" t="s">
        <v>17</v>
      </c>
      <c r="E175" t="s">
        <v>55</v>
      </c>
      <c r="F175" t="s">
        <v>19</v>
      </c>
      <c r="G175" s="4">
        <v>55.9</v>
      </c>
      <c r="H175" s="4">
        <v>115.14</v>
      </c>
      <c r="I175" s="6">
        <v>61</v>
      </c>
      <c r="J175" s="6">
        <v>20</v>
      </c>
      <c r="K175" t="s">
        <v>20</v>
      </c>
      <c r="L175" s="1">
        <v>45720</v>
      </c>
      <c r="M175" s="4">
        <f t="shared" si="3"/>
        <v>3409.9</v>
      </c>
      <c r="N175" t="str">
        <f t="shared" si="4"/>
        <v>Sufficient Stock</v>
      </c>
    </row>
    <row r="176" spans="1:14">
      <c r="A176" t="s">
        <v>578</v>
      </c>
      <c r="B176" t="s">
        <v>579</v>
      </c>
      <c r="C176" t="s">
        <v>580</v>
      </c>
      <c r="D176" t="s">
        <v>289</v>
      </c>
      <c r="E176" t="s">
        <v>24</v>
      </c>
      <c r="F176" t="s">
        <v>49</v>
      </c>
      <c r="G176" s="4">
        <v>42.93</v>
      </c>
      <c r="H176" s="4">
        <v>79.69</v>
      </c>
      <c r="I176" s="6">
        <v>227</v>
      </c>
      <c r="J176" s="6">
        <v>30</v>
      </c>
      <c r="K176" t="s">
        <v>38</v>
      </c>
      <c r="L176" s="1">
        <v>45690</v>
      </c>
      <c r="M176" s="4">
        <f t="shared" si="3"/>
        <v>9745.11</v>
      </c>
      <c r="N176" t="str">
        <f t="shared" si="4"/>
        <v>Sufficient Stock</v>
      </c>
    </row>
    <row r="177" spans="1:14">
      <c r="A177" t="s">
        <v>581</v>
      </c>
      <c r="B177" t="s">
        <v>582</v>
      </c>
      <c r="C177" t="s">
        <v>583</v>
      </c>
      <c r="D177" t="s">
        <v>42</v>
      </c>
      <c r="E177" t="s">
        <v>121</v>
      </c>
      <c r="F177" t="s">
        <v>59</v>
      </c>
      <c r="G177" s="4">
        <v>27.73</v>
      </c>
      <c r="H177" s="4">
        <v>61.7</v>
      </c>
      <c r="J177" s="6">
        <v>10</v>
      </c>
      <c r="K177" t="s">
        <v>97</v>
      </c>
      <c r="L177" s="1">
        <v>46174</v>
      </c>
      <c r="M177" s="4" t="str">
        <f t="shared" si="3"/>
        <v>Unavailable</v>
      </c>
      <c r="N177" t="str">
        <f t="shared" si="4"/>
        <v>Unavailable</v>
      </c>
    </row>
    <row r="178" spans="1:14">
      <c r="A178" t="s">
        <v>584</v>
      </c>
      <c r="B178" t="s">
        <v>585</v>
      </c>
      <c r="C178" t="s">
        <v>586</v>
      </c>
      <c r="D178" t="s">
        <v>198</v>
      </c>
      <c r="E178" t="s">
        <v>83</v>
      </c>
      <c r="F178" t="s">
        <v>25</v>
      </c>
      <c r="G178" s="4">
        <v>37.24</v>
      </c>
      <c r="H178" s="4">
        <v>59.6</v>
      </c>
      <c r="I178" s="6">
        <v>138</v>
      </c>
      <c r="J178" s="6">
        <v>15</v>
      </c>
      <c r="K178" t="s">
        <v>50</v>
      </c>
      <c r="L178" s="1">
        <v>46031</v>
      </c>
      <c r="M178" s="4">
        <f t="shared" si="3"/>
        <v>5139.12</v>
      </c>
      <c r="N178" t="str">
        <f t="shared" si="4"/>
        <v>Sufficient Stock</v>
      </c>
    </row>
    <row r="179" spans="1:14">
      <c r="A179" t="s">
        <v>587</v>
      </c>
      <c r="B179" t="s">
        <v>588</v>
      </c>
      <c r="C179" t="s">
        <v>589</v>
      </c>
      <c r="D179" t="s">
        <v>17</v>
      </c>
      <c r="E179" t="s">
        <v>146</v>
      </c>
      <c r="F179" t="s">
        <v>25</v>
      </c>
      <c r="G179" s="4">
        <v>31.17</v>
      </c>
      <c r="H179" s="4">
        <v>57.11</v>
      </c>
      <c r="I179" s="6">
        <v>57</v>
      </c>
      <c r="J179" s="6">
        <v>40</v>
      </c>
      <c r="K179" t="s">
        <v>50</v>
      </c>
      <c r="L179" s="1">
        <v>45589</v>
      </c>
      <c r="M179" s="4">
        <f t="shared" si="3"/>
        <v>1776.69</v>
      </c>
      <c r="N179" t="str">
        <f t="shared" si="4"/>
        <v>Sufficient Stock</v>
      </c>
    </row>
    <row r="180" spans="1:14">
      <c r="A180" t="s">
        <v>590</v>
      </c>
      <c r="B180" t="s">
        <v>591</v>
      </c>
      <c r="C180" t="s">
        <v>592</v>
      </c>
      <c r="D180" t="s">
        <v>42</v>
      </c>
      <c r="E180" t="s">
        <v>64</v>
      </c>
      <c r="F180" t="s">
        <v>25</v>
      </c>
      <c r="G180" s="4">
        <v>84.46</v>
      </c>
      <c r="H180" s="4">
        <v>197.31</v>
      </c>
      <c r="I180" s="6">
        <v>6</v>
      </c>
      <c r="J180" s="6">
        <v>12</v>
      </c>
      <c r="K180" t="s">
        <v>38</v>
      </c>
      <c r="L180" s="1">
        <v>46316</v>
      </c>
      <c r="M180" s="4">
        <f t="shared" si="3"/>
        <v>506.76</v>
      </c>
      <c r="N180" t="str">
        <f t="shared" si="4"/>
        <v>Reorder</v>
      </c>
    </row>
    <row r="181" spans="1:14">
      <c r="A181" t="s">
        <v>593</v>
      </c>
      <c r="B181" t="s">
        <v>594</v>
      </c>
      <c r="C181" t="s">
        <v>595</v>
      </c>
      <c r="D181" t="s">
        <v>17</v>
      </c>
      <c r="E181" t="s">
        <v>121</v>
      </c>
      <c r="F181" t="s">
        <v>74</v>
      </c>
      <c r="G181" s="4">
        <v>15.21</v>
      </c>
      <c r="H181" s="4">
        <v>26.68</v>
      </c>
      <c r="I181" s="6">
        <v>238</v>
      </c>
      <c r="J181" s="6">
        <v>40</v>
      </c>
      <c r="K181" t="s">
        <v>44</v>
      </c>
      <c r="L181" s="1">
        <v>45422</v>
      </c>
      <c r="M181" s="4">
        <f t="shared" si="3"/>
        <v>3619.98</v>
      </c>
      <c r="N181" t="str">
        <f t="shared" si="4"/>
        <v>Sufficient Stock</v>
      </c>
    </row>
    <row r="182" spans="1:14">
      <c r="A182" t="s">
        <v>596</v>
      </c>
      <c r="B182" t="s">
        <v>597</v>
      </c>
      <c r="C182" t="s">
        <v>598</v>
      </c>
      <c r="D182" t="s">
        <v>63</v>
      </c>
      <c r="E182" t="s">
        <v>48</v>
      </c>
      <c r="F182" t="s">
        <v>49</v>
      </c>
      <c r="G182" s="4">
        <v>50.8</v>
      </c>
      <c r="H182" s="4">
        <v>91.08</v>
      </c>
      <c r="I182" s="6">
        <v>61</v>
      </c>
      <c r="J182" s="6">
        <v>40</v>
      </c>
      <c r="K182" t="s">
        <v>50</v>
      </c>
      <c r="L182" s="1">
        <v>46230</v>
      </c>
      <c r="M182" s="4">
        <f t="shared" si="3"/>
        <v>3098.7999999999997</v>
      </c>
      <c r="N182" t="str">
        <f t="shared" si="4"/>
        <v>Sufficient Stock</v>
      </c>
    </row>
    <row r="183" spans="1:14">
      <c r="A183" t="s">
        <v>599</v>
      </c>
      <c r="B183" t="s">
        <v>600</v>
      </c>
      <c r="C183" t="s">
        <v>601</v>
      </c>
      <c r="D183" t="s">
        <v>87</v>
      </c>
      <c r="E183" t="s">
        <v>48</v>
      </c>
      <c r="F183" t="s">
        <v>65</v>
      </c>
      <c r="G183" s="4">
        <v>64.14</v>
      </c>
      <c r="H183" s="4">
        <v>111.95</v>
      </c>
      <c r="I183" s="6">
        <v>149</v>
      </c>
      <c r="J183" s="6">
        <v>15</v>
      </c>
      <c r="K183" t="s">
        <v>20</v>
      </c>
      <c r="L183" s="1">
        <v>46133</v>
      </c>
      <c r="M183" s="4">
        <f t="shared" si="3"/>
        <v>9556.86</v>
      </c>
      <c r="N183" t="str">
        <f t="shared" si="4"/>
        <v>Sufficient Stock</v>
      </c>
    </row>
    <row r="184" spans="1:14">
      <c r="A184" t="s">
        <v>602</v>
      </c>
      <c r="B184" t="s">
        <v>603</v>
      </c>
      <c r="C184" t="s">
        <v>604</v>
      </c>
      <c r="D184" t="s">
        <v>73</v>
      </c>
      <c r="E184" t="s">
        <v>31</v>
      </c>
      <c r="F184" t="s">
        <v>59</v>
      </c>
      <c r="G184" s="4">
        <v>7.97</v>
      </c>
      <c r="H184" s="4">
        <v>18.59</v>
      </c>
      <c r="I184" s="6">
        <v>133</v>
      </c>
      <c r="J184" s="6">
        <v>20</v>
      </c>
      <c r="K184" t="s">
        <v>44</v>
      </c>
      <c r="L184" s="1">
        <v>46224</v>
      </c>
      <c r="M184" s="4">
        <f t="shared" si="3"/>
        <v>1060.01</v>
      </c>
      <c r="N184" t="str">
        <f t="shared" si="4"/>
        <v>Sufficient Stock</v>
      </c>
    </row>
    <row r="185" spans="1:14">
      <c r="A185" t="s">
        <v>605</v>
      </c>
      <c r="B185" t="s">
        <v>606</v>
      </c>
      <c r="C185" t="s">
        <v>607</v>
      </c>
      <c r="D185" t="s">
        <v>198</v>
      </c>
      <c r="E185" t="s">
        <v>146</v>
      </c>
      <c r="F185" t="s">
        <v>74</v>
      </c>
      <c r="G185" s="4">
        <v>5.68</v>
      </c>
      <c r="H185" s="4">
        <v>8.92</v>
      </c>
      <c r="I185" s="6">
        <v>6</v>
      </c>
      <c r="J185" s="6">
        <v>10</v>
      </c>
      <c r="K185" t="s">
        <v>97</v>
      </c>
      <c r="L185" s="1">
        <v>45468</v>
      </c>
      <c r="M185" s="4">
        <f t="shared" si="3"/>
        <v>34.08</v>
      </c>
      <c r="N185" t="str">
        <f t="shared" si="4"/>
        <v>Reorder</v>
      </c>
    </row>
    <row r="186" spans="1:14">
      <c r="A186" t="s">
        <v>608</v>
      </c>
      <c r="B186" t="s">
        <v>609</v>
      </c>
      <c r="C186" t="s">
        <v>610</v>
      </c>
      <c r="D186" t="s">
        <v>289</v>
      </c>
      <c r="E186" t="s">
        <v>83</v>
      </c>
      <c r="F186" t="s">
        <v>49</v>
      </c>
      <c r="G186" s="4">
        <v>4.79</v>
      </c>
      <c r="H186" s="4">
        <v>9.26</v>
      </c>
      <c r="I186" s="6">
        <v>243</v>
      </c>
      <c r="J186" s="6">
        <v>40</v>
      </c>
      <c r="K186" t="s">
        <v>26</v>
      </c>
      <c r="L186" s="1">
        <v>46248</v>
      </c>
      <c r="M186" s="4">
        <f t="shared" si="3"/>
        <v>1163.97</v>
      </c>
      <c r="N186" t="str">
        <f t="shared" si="4"/>
        <v>Sufficient Stock</v>
      </c>
    </row>
    <row r="187" spans="1:14">
      <c r="A187" t="s">
        <v>611</v>
      </c>
      <c r="B187" t="s">
        <v>612</v>
      </c>
      <c r="C187" t="s">
        <v>613</v>
      </c>
      <c r="D187" t="s">
        <v>87</v>
      </c>
      <c r="E187" t="s">
        <v>18</v>
      </c>
      <c r="F187" t="s">
        <v>49</v>
      </c>
      <c r="G187" s="4">
        <v>11.4</v>
      </c>
      <c r="H187" s="4">
        <v>27.18</v>
      </c>
      <c r="I187" s="6">
        <v>197</v>
      </c>
      <c r="J187" s="6">
        <v>12</v>
      </c>
      <c r="K187" t="s">
        <v>97</v>
      </c>
      <c r="L187" s="1">
        <v>45729</v>
      </c>
      <c r="M187" s="4">
        <f t="shared" si="3"/>
        <v>2245.8000000000002</v>
      </c>
      <c r="N187" t="str">
        <f t="shared" si="4"/>
        <v>Sufficient Stock</v>
      </c>
    </row>
    <row r="188" spans="1:14">
      <c r="A188" t="s">
        <v>614</v>
      </c>
      <c r="B188" t="s">
        <v>615</v>
      </c>
      <c r="C188" t="s">
        <v>616</v>
      </c>
      <c r="D188" t="s">
        <v>42</v>
      </c>
      <c r="E188" t="s">
        <v>24</v>
      </c>
      <c r="F188" t="s">
        <v>59</v>
      </c>
      <c r="G188" s="4">
        <v>12.46</v>
      </c>
      <c r="H188" s="4">
        <v>26.84</v>
      </c>
      <c r="I188" s="6">
        <v>108</v>
      </c>
      <c r="J188" s="6">
        <v>25</v>
      </c>
      <c r="K188" t="s">
        <v>26</v>
      </c>
      <c r="L188" s="1">
        <v>45536</v>
      </c>
      <c r="M188" s="4">
        <f t="shared" si="3"/>
        <v>1345.68</v>
      </c>
      <c r="N188" t="str">
        <f t="shared" si="4"/>
        <v>Sufficient Stock</v>
      </c>
    </row>
    <row r="189" spans="1:14">
      <c r="A189" t="s">
        <v>617</v>
      </c>
      <c r="B189" t="s">
        <v>618</v>
      </c>
      <c r="C189" t="s">
        <v>619</v>
      </c>
      <c r="D189" t="s">
        <v>30</v>
      </c>
      <c r="E189" t="s">
        <v>48</v>
      </c>
      <c r="F189" t="s">
        <v>25</v>
      </c>
      <c r="G189" s="4">
        <v>35.659999999999997</v>
      </c>
      <c r="H189" s="4">
        <v>66.989999999999995</v>
      </c>
      <c r="I189" s="6">
        <v>156</v>
      </c>
      <c r="J189" s="6">
        <v>40</v>
      </c>
      <c r="K189" t="s">
        <v>44</v>
      </c>
      <c r="L189" s="1">
        <v>45446</v>
      </c>
      <c r="M189" s="4">
        <f t="shared" si="3"/>
        <v>5562.9599999999991</v>
      </c>
      <c r="N189" t="str">
        <f t="shared" si="4"/>
        <v>Sufficient Stock</v>
      </c>
    </row>
    <row r="190" spans="1:14">
      <c r="A190" t="s">
        <v>620</v>
      </c>
      <c r="B190" t="s">
        <v>621</v>
      </c>
      <c r="C190" t="s">
        <v>622</v>
      </c>
      <c r="D190" t="s">
        <v>17</v>
      </c>
      <c r="E190" t="s">
        <v>184</v>
      </c>
      <c r="F190" t="s">
        <v>19</v>
      </c>
      <c r="G190" s="4">
        <v>24.59</v>
      </c>
      <c r="H190" s="4">
        <v>36.869999999999997</v>
      </c>
      <c r="I190" s="6">
        <v>249</v>
      </c>
      <c r="J190" s="6">
        <v>40</v>
      </c>
      <c r="K190" t="s">
        <v>97</v>
      </c>
      <c r="L190" s="1">
        <v>45527</v>
      </c>
      <c r="M190" s="4">
        <f t="shared" si="3"/>
        <v>6122.91</v>
      </c>
      <c r="N190" t="str">
        <f t="shared" si="4"/>
        <v>Sufficient Stock</v>
      </c>
    </row>
    <row r="191" spans="1:14">
      <c r="A191" t="s">
        <v>623</v>
      </c>
      <c r="B191" t="s">
        <v>624</v>
      </c>
      <c r="C191" t="s">
        <v>625</v>
      </c>
      <c r="D191" t="s">
        <v>42</v>
      </c>
      <c r="E191" t="s">
        <v>64</v>
      </c>
      <c r="F191" t="s">
        <v>49</v>
      </c>
      <c r="G191" s="4">
        <v>70.44</v>
      </c>
      <c r="H191" s="4">
        <v>139.37</v>
      </c>
      <c r="I191" s="6">
        <v>212</v>
      </c>
      <c r="J191" s="6">
        <v>20</v>
      </c>
      <c r="K191" t="s">
        <v>97</v>
      </c>
      <c r="L191" s="1">
        <v>45646</v>
      </c>
      <c r="M191" s="4">
        <f t="shared" si="3"/>
        <v>14933.279999999999</v>
      </c>
      <c r="N191" t="str">
        <f t="shared" si="4"/>
        <v>Sufficient Stock</v>
      </c>
    </row>
    <row r="192" spans="1:14">
      <c r="A192" t="s">
        <v>626</v>
      </c>
      <c r="B192" t="s">
        <v>627</v>
      </c>
      <c r="C192" t="s">
        <v>628</v>
      </c>
      <c r="D192" t="s">
        <v>30</v>
      </c>
      <c r="E192" t="s">
        <v>24</v>
      </c>
      <c r="F192" t="s">
        <v>32</v>
      </c>
      <c r="G192" s="4">
        <v>49.93</v>
      </c>
      <c r="H192" s="4">
        <v>115.8</v>
      </c>
      <c r="I192" s="6">
        <v>105</v>
      </c>
      <c r="J192" s="6">
        <v>10</v>
      </c>
      <c r="K192" t="s">
        <v>26</v>
      </c>
      <c r="L192" s="1">
        <v>45885</v>
      </c>
      <c r="M192" s="4">
        <f t="shared" si="3"/>
        <v>5242.6499999999996</v>
      </c>
      <c r="N192" t="str">
        <f t="shared" si="4"/>
        <v>Sufficient Stock</v>
      </c>
    </row>
    <row r="193" spans="1:14">
      <c r="A193" t="s">
        <v>629</v>
      </c>
      <c r="B193" t="s">
        <v>630</v>
      </c>
      <c r="C193" t="s">
        <v>631</v>
      </c>
      <c r="D193" t="s">
        <v>30</v>
      </c>
      <c r="E193" t="s">
        <v>64</v>
      </c>
      <c r="F193" t="s">
        <v>159</v>
      </c>
      <c r="G193" s="4">
        <v>33.85</v>
      </c>
      <c r="H193" s="4">
        <v>52</v>
      </c>
      <c r="I193" s="6">
        <v>241</v>
      </c>
      <c r="J193" s="6">
        <v>10</v>
      </c>
      <c r="K193" t="s">
        <v>50</v>
      </c>
      <c r="L193" s="1">
        <v>45571</v>
      </c>
      <c r="M193" s="4">
        <f t="shared" si="3"/>
        <v>8157.85</v>
      </c>
      <c r="N193" t="str">
        <f t="shared" si="4"/>
        <v>Sufficient Stock</v>
      </c>
    </row>
    <row r="194" spans="1:14">
      <c r="A194" t="s">
        <v>632</v>
      </c>
      <c r="B194" t="s">
        <v>633</v>
      </c>
      <c r="C194" t="s">
        <v>634</v>
      </c>
      <c r="D194" t="s">
        <v>17</v>
      </c>
      <c r="E194" t="s">
        <v>31</v>
      </c>
      <c r="F194" t="s">
        <v>37</v>
      </c>
      <c r="G194" s="4">
        <v>34.94</v>
      </c>
      <c r="H194" s="4">
        <v>81.36</v>
      </c>
      <c r="I194" s="6">
        <v>40</v>
      </c>
      <c r="J194" s="6">
        <v>30</v>
      </c>
      <c r="K194" t="s">
        <v>38</v>
      </c>
      <c r="L194" s="1">
        <v>45660</v>
      </c>
      <c r="M194" s="4">
        <f t="shared" ref="M194:M221" si="5">IF(I194="","Unavailable",G194*I194)</f>
        <v>1397.6</v>
      </c>
      <c r="N194" t="str">
        <f t="shared" ref="N194:N221" si="6">IF(I194="","Unavailable",IF(I194&lt;=J194,"Reorder","Sufficient Stock"))</f>
        <v>Sufficient Stock</v>
      </c>
    </row>
    <row r="195" spans="1:14">
      <c r="A195" t="s">
        <v>635</v>
      </c>
      <c r="B195" t="s">
        <v>636</v>
      </c>
      <c r="C195" t="s">
        <v>637</v>
      </c>
      <c r="D195" t="s">
        <v>73</v>
      </c>
      <c r="E195" t="s">
        <v>184</v>
      </c>
      <c r="F195" t="s">
        <v>49</v>
      </c>
      <c r="G195" s="4">
        <v>16.87</v>
      </c>
      <c r="H195" s="4">
        <v>37.799999999999997</v>
      </c>
      <c r="I195" s="6">
        <v>24</v>
      </c>
      <c r="J195" s="6">
        <v>25</v>
      </c>
      <c r="K195" t="s">
        <v>44</v>
      </c>
      <c r="L195" s="1">
        <v>45591</v>
      </c>
      <c r="M195" s="4">
        <f t="shared" si="5"/>
        <v>404.88</v>
      </c>
      <c r="N195" t="str">
        <f t="shared" si="6"/>
        <v>Reorder</v>
      </c>
    </row>
    <row r="196" spans="1:14">
      <c r="A196" t="s">
        <v>638</v>
      </c>
      <c r="B196" t="s">
        <v>639</v>
      </c>
      <c r="C196" t="s">
        <v>640</v>
      </c>
      <c r="D196" t="s">
        <v>30</v>
      </c>
      <c r="E196" t="s">
        <v>64</v>
      </c>
      <c r="F196" t="s">
        <v>101</v>
      </c>
      <c r="G196" s="4">
        <v>9.93</v>
      </c>
      <c r="H196" s="4">
        <v>22.34</v>
      </c>
      <c r="I196" s="6">
        <v>113</v>
      </c>
      <c r="J196" s="6">
        <v>5</v>
      </c>
      <c r="K196" t="s">
        <v>44</v>
      </c>
      <c r="L196" s="1">
        <v>45328</v>
      </c>
      <c r="M196" s="4">
        <f t="shared" si="5"/>
        <v>1122.0899999999999</v>
      </c>
      <c r="N196" t="str">
        <f t="shared" si="6"/>
        <v>Sufficient Stock</v>
      </c>
    </row>
    <row r="197" spans="1:14">
      <c r="A197" t="s">
        <v>641</v>
      </c>
      <c r="B197" t="s">
        <v>642</v>
      </c>
      <c r="C197" t="s">
        <v>643</v>
      </c>
      <c r="D197" t="s">
        <v>87</v>
      </c>
      <c r="E197" t="s">
        <v>55</v>
      </c>
      <c r="F197" t="s">
        <v>65</v>
      </c>
      <c r="G197" s="4">
        <v>39.42</v>
      </c>
      <c r="H197" s="4">
        <v>60.96</v>
      </c>
      <c r="I197" s="6">
        <v>86</v>
      </c>
      <c r="J197" s="6">
        <v>15</v>
      </c>
      <c r="K197" t="s">
        <v>38</v>
      </c>
      <c r="L197" s="1">
        <v>45839</v>
      </c>
      <c r="M197" s="4">
        <f t="shared" si="5"/>
        <v>3390.1200000000003</v>
      </c>
      <c r="N197" t="str">
        <f t="shared" si="6"/>
        <v>Sufficient Stock</v>
      </c>
    </row>
    <row r="198" spans="1:14">
      <c r="A198" t="s">
        <v>644</v>
      </c>
      <c r="B198" t="s">
        <v>645</v>
      </c>
      <c r="C198" t="s">
        <v>646</v>
      </c>
      <c r="D198" t="s">
        <v>198</v>
      </c>
      <c r="E198" t="s">
        <v>83</v>
      </c>
      <c r="F198" t="s">
        <v>19</v>
      </c>
      <c r="G198" s="4">
        <v>30.6</v>
      </c>
      <c r="H198" s="4">
        <v>61.95</v>
      </c>
      <c r="I198" s="6">
        <v>17</v>
      </c>
      <c r="J198" s="6">
        <v>12</v>
      </c>
      <c r="K198" t="s">
        <v>38</v>
      </c>
      <c r="L198" s="1">
        <v>45742</v>
      </c>
      <c r="M198" s="4">
        <f t="shared" si="5"/>
        <v>520.20000000000005</v>
      </c>
      <c r="N198" t="str">
        <f t="shared" si="6"/>
        <v>Sufficient Stock</v>
      </c>
    </row>
    <row r="199" spans="1:14">
      <c r="A199" t="s">
        <v>647</v>
      </c>
      <c r="B199" t="s">
        <v>648</v>
      </c>
      <c r="C199" t="s">
        <v>649</v>
      </c>
      <c r="D199" t="s">
        <v>30</v>
      </c>
      <c r="E199" t="s">
        <v>83</v>
      </c>
      <c r="F199" t="s">
        <v>159</v>
      </c>
      <c r="G199" s="4">
        <v>2.4500000000000002</v>
      </c>
      <c r="H199" s="4">
        <v>4.45</v>
      </c>
      <c r="I199" s="6">
        <v>65</v>
      </c>
      <c r="J199" s="6">
        <v>12</v>
      </c>
      <c r="K199" t="s">
        <v>26</v>
      </c>
      <c r="L199" s="1">
        <v>46195</v>
      </c>
      <c r="M199" s="4">
        <f t="shared" si="5"/>
        <v>159.25</v>
      </c>
      <c r="N199" t="str">
        <f t="shared" si="6"/>
        <v>Sufficient Stock</v>
      </c>
    </row>
    <row r="200" spans="1:14">
      <c r="A200" t="s">
        <v>650</v>
      </c>
      <c r="B200" t="s">
        <v>651</v>
      </c>
      <c r="C200" t="s">
        <v>652</v>
      </c>
      <c r="D200" t="s">
        <v>36</v>
      </c>
      <c r="E200" t="s">
        <v>64</v>
      </c>
      <c r="F200" t="s">
        <v>159</v>
      </c>
      <c r="G200" s="4">
        <v>25.66</v>
      </c>
      <c r="H200" s="4">
        <v>42.23</v>
      </c>
      <c r="I200" s="6">
        <v>179</v>
      </c>
      <c r="J200" s="6">
        <v>10</v>
      </c>
      <c r="K200" t="s">
        <v>38</v>
      </c>
      <c r="L200" s="1">
        <v>45946</v>
      </c>
      <c r="M200" s="4">
        <f t="shared" si="5"/>
        <v>4593.1400000000003</v>
      </c>
      <c r="N200" t="str">
        <f t="shared" si="6"/>
        <v>Sufficient Stock</v>
      </c>
    </row>
    <row r="201" spans="1:14">
      <c r="A201" t="s">
        <v>653</v>
      </c>
      <c r="B201" t="s">
        <v>654</v>
      </c>
      <c r="C201" t="s">
        <v>655</v>
      </c>
      <c r="D201" t="s">
        <v>30</v>
      </c>
      <c r="E201" t="s">
        <v>31</v>
      </c>
      <c r="F201" t="s">
        <v>37</v>
      </c>
      <c r="G201" s="4">
        <v>80.53</v>
      </c>
      <c r="H201" s="4">
        <v>156.56</v>
      </c>
      <c r="I201" s="6">
        <v>237</v>
      </c>
      <c r="J201" s="6">
        <v>5</v>
      </c>
      <c r="K201" t="s">
        <v>20</v>
      </c>
      <c r="L201" s="1">
        <v>45688</v>
      </c>
      <c r="M201" s="4">
        <f t="shared" si="5"/>
        <v>19085.61</v>
      </c>
      <c r="N201" t="str">
        <f t="shared" si="6"/>
        <v>Sufficient Stock</v>
      </c>
    </row>
    <row r="202" spans="1:14">
      <c r="A202" t="s">
        <v>656</v>
      </c>
      <c r="B202" t="s">
        <v>657</v>
      </c>
      <c r="C202" t="s">
        <v>658</v>
      </c>
      <c r="D202" t="s">
        <v>30</v>
      </c>
      <c r="E202" t="s">
        <v>31</v>
      </c>
      <c r="F202" t="s">
        <v>159</v>
      </c>
      <c r="G202" s="4">
        <v>56.41</v>
      </c>
      <c r="H202" s="4">
        <v>103.93</v>
      </c>
      <c r="I202" s="6">
        <v>73</v>
      </c>
      <c r="J202" s="6">
        <v>30</v>
      </c>
      <c r="K202" t="s">
        <v>44</v>
      </c>
      <c r="L202" s="1">
        <v>45306</v>
      </c>
      <c r="M202" s="4">
        <f t="shared" si="5"/>
        <v>4117.9299999999994</v>
      </c>
      <c r="N202" t="str">
        <f t="shared" si="6"/>
        <v>Sufficient Stock</v>
      </c>
    </row>
    <row r="203" spans="1:14">
      <c r="A203" t="s">
        <v>659</v>
      </c>
      <c r="B203" t="s">
        <v>660</v>
      </c>
      <c r="C203" t="s">
        <v>661</v>
      </c>
      <c r="D203" t="s">
        <v>42</v>
      </c>
      <c r="E203" t="s">
        <v>83</v>
      </c>
      <c r="F203" t="s">
        <v>79</v>
      </c>
      <c r="G203" s="4">
        <v>68.8</v>
      </c>
      <c r="H203" s="4">
        <v>134.85</v>
      </c>
      <c r="I203" s="6">
        <v>242</v>
      </c>
      <c r="J203" s="6">
        <v>30</v>
      </c>
      <c r="K203" t="s">
        <v>26</v>
      </c>
      <c r="L203" s="1">
        <v>45525</v>
      </c>
      <c r="M203" s="4">
        <f t="shared" si="5"/>
        <v>16649.599999999999</v>
      </c>
      <c r="N203" t="str">
        <f t="shared" si="6"/>
        <v>Sufficient Stock</v>
      </c>
    </row>
    <row r="204" spans="1:14">
      <c r="A204" t="s">
        <v>662</v>
      </c>
      <c r="B204" t="s">
        <v>663</v>
      </c>
      <c r="C204" t="s">
        <v>664</v>
      </c>
      <c r="D204" t="s">
        <v>30</v>
      </c>
      <c r="E204" t="s">
        <v>146</v>
      </c>
      <c r="F204" t="s">
        <v>19</v>
      </c>
      <c r="G204" s="4">
        <v>41.37</v>
      </c>
      <c r="H204" s="4">
        <v>87.3</v>
      </c>
      <c r="I204" s="6">
        <v>232</v>
      </c>
      <c r="J204" s="6">
        <v>5</v>
      </c>
      <c r="K204" t="s">
        <v>20</v>
      </c>
      <c r="L204" s="1">
        <v>46256</v>
      </c>
      <c r="M204" s="4">
        <f t="shared" si="5"/>
        <v>9597.84</v>
      </c>
      <c r="N204" t="str">
        <f t="shared" si="6"/>
        <v>Sufficient Stock</v>
      </c>
    </row>
    <row r="205" spans="1:14">
      <c r="A205" t="s">
        <v>665</v>
      </c>
      <c r="B205" t="s">
        <v>666</v>
      </c>
      <c r="C205" t="s">
        <v>667</v>
      </c>
      <c r="D205" t="s">
        <v>17</v>
      </c>
      <c r="E205" t="s">
        <v>43</v>
      </c>
      <c r="F205" t="s">
        <v>25</v>
      </c>
      <c r="G205" s="4">
        <v>15.17</v>
      </c>
      <c r="H205" s="4">
        <v>28.27</v>
      </c>
      <c r="I205" s="6">
        <v>67</v>
      </c>
      <c r="J205" s="6">
        <v>30</v>
      </c>
      <c r="K205" t="s">
        <v>26</v>
      </c>
      <c r="L205" s="1">
        <v>45852</v>
      </c>
      <c r="M205" s="4">
        <f t="shared" si="5"/>
        <v>1016.39</v>
      </c>
      <c r="N205" t="str">
        <f t="shared" si="6"/>
        <v>Sufficient Stock</v>
      </c>
    </row>
    <row r="206" spans="1:14">
      <c r="A206" t="s">
        <v>668</v>
      </c>
      <c r="B206" t="s">
        <v>669</v>
      </c>
      <c r="C206" t="s">
        <v>670</v>
      </c>
      <c r="D206" t="s">
        <v>54</v>
      </c>
      <c r="E206" t="s">
        <v>64</v>
      </c>
      <c r="F206" t="s">
        <v>59</v>
      </c>
      <c r="G206" s="4">
        <v>66.28</v>
      </c>
      <c r="H206" s="4">
        <v>108.92</v>
      </c>
      <c r="I206" s="6">
        <v>61</v>
      </c>
      <c r="J206" s="6">
        <v>5</v>
      </c>
      <c r="K206" t="s">
        <v>44</v>
      </c>
      <c r="L206" s="1">
        <v>45885</v>
      </c>
      <c r="M206" s="4">
        <f t="shared" si="5"/>
        <v>4043.08</v>
      </c>
      <c r="N206" t="str">
        <f t="shared" si="6"/>
        <v>Sufficient Stock</v>
      </c>
    </row>
    <row r="207" spans="1:14">
      <c r="A207" t="s">
        <v>671</v>
      </c>
      <c r="B207" t="s">
        <v>672</v>
      </c>
      <c r="C207" t="s">
        <v>673</v>
      </c>
      <c r="D207" t="s">
        <v>42</v>
      </c>
      <c r="E207" t="s">
        <v>24</v>
      </c>
      <c r="F207" t="s">
        <v>37</v>
      </c>
      <c r="G207" s="4">
        <v>80.91</v>
      </c>
      <c r="H207" s="4">
        <v>118.35</v>
      </c>
      <c r="I207" s="6">
        <v>164</v>
      </c>
      <c r="J207" s="6">
        <v>12</v>
      </c>
      <c r="K207" t="s">
        <v>50</v>
      </c>
      <c r="L207" s="1">
        <v>45447</v>
      </c>
      <c r="M207" s="4">
        <f t="shared" si="5"/>
        <v>13269.24</v>
      </c>
      <c r="N207" t="str">
        <f t="shared" si="6"/>
        <v>Sufficient Stock</v>
      </c>
    </row>
    <row r="208" spans="1:14">
      <c r="A208" t="s">
        <v>674</v>
      </c>
      <c r="B208" t="s">
        <v>675</v>
      </c>
      <c r="C208" t="s">
        <v>676</v>
      </c>
      <c r="D208" t="s">
        <v>54</v>
      </c>
      <c r="E208" t="s">
        <v>55</v>
      </c>
      <c r="F208" t="s">
        <v>49</v>
      </c>
      <c r="G208" s="4">
        <v>68.89</v>
      </c>
      <c r="H208" s="4">
        <v>165.61</v>
      </c>
      <c r="I208" s="6">
        <v>10</v>
      </c>
      <c r="J208" s="6">
        <v>25</v>
      </c>
      <c r="K208" t="s">
        <v>38</v>
      </c>
      <c r="L208" s="1">
        <v>45471</v>
      </c>
      <c r="M208" s="4">
        <f t="shared" si="5"/>
        <v>688.9</v>
      </c>
      <c r="N208" t="str">
        <f t="shared" si="6"/>
        <v>Reorder</v>
      </c>
    </row>
    <row r="209" spans="1:14">
      <c r="A209" t="s">
        <v>677</v>
      </c>
      <c r="B209" t="s">
        <v>678</v>
      </c>
      <c r="C209" t="s">
        <v>679</v>
      </c>
      <c r="D209" t="s">
        <v>36</v>
      </c>
      <c r="E209" t="s">
        <v>146</v>
      </c>
      <c r="F209" t="s">
        <v>101</v>
      </c>
      <c r="G209" s="4">
        <v>69.989999999999995</v>
      </c>
      <c r="H209" s="4">
        <v>139.74</v>
      </c>
      <c r="I209" s="6">
        <v>14</v>
      </c>
      <c r="J209" s="6">
        <v>40</v>
      </c>
      <c r="K209" t="s">
        <v>38</v>
      </c>
      <c r="L209" s="1">
        <v>46266</v>
      </c>
      <c r="M209" s="4">
        <f t="shared" si="5"/>
        <v>979.8599999999999</v>
      </c>
      <c r="N209" t="str">
        <f t="shared" si="6"/>
        <v>Reorder</v>
      </c>
    </row>
    <row r="210" spans="1:14">
      <c r="A210" t="s">
        <v>680</v>
      </c>
      <c r="B210" t="s">
        <v>681</v>
      </c>
      <c r="C210" t="s">
        <v>682</v>
      </c>
      <c r="D210" t="s">
        <v>198</v>
      </c>
      <c r="E210" t="s">
        <v>24</v>
      </c>
      <c r="F210" t="s">
        <v>32</v>
      </c>
      <c r="G210" s="4">
        <v>80.069999999999993</v>
      </c>
      <c r="H210" s="4">
        <v>186.45</v>
      </c>
      <c r="I210" s="6">
        <v>24</v>
      </c>
      <c r="J210" s="6">
        <v>10</v>
      </c>
      <c r="K210" t="s">
        <v>44</v>
      </c>
      <c r="L210" s="1">
        <v>46100</v>
      </c>
      <c r="M210" s="4">
        <f t="shared" si="5"/>
        <v>1921.6799999999998</v>
      </c>
      <c r="N210" t="str">
        <f t="shared" si="6"/>
        <v>Sufficient Stock</v>
      </c>
    </row>
    <row r="211" spans="1:14">
      <c r="A211" t="s">
        <v>683</v>
      </c>
      <c r="B211" t="s">
        <v>684</v>
      </c>
      <c r="C211" t="s">
        <v>685</v>
      </c>
      <c r="D211" t="s">
        <v>30</v>
      </c>
      <c r="E211" t="s">
        <v>64</v>
      </c>
      <c r="F211" t="s">
        <v>74</v>
      </c>
      <c r="G211" s="4">
        <v>79.91</v>
      </c>
      <c r="H211" s="4">
        <v>129.03</v>
      </c>
      <c r="I211" s="6">
        <v>220</v>
      </c>
      <c r="J211" s="6">
        <v>10</v>
      </c>
      <c r="K211" t="s">
        <v>50</v>
      </c>
      <c r="L211" s="1">
        <v>46246</v>
      </c>
      <c r="M211" s="4">
        <f t="shared" si="5"/>
        <v>17580.2</v>
      </c>
      <c r="N211" t="str">
        <f t="shared" si="6"/>
        <v>Sufficient Stock</v>
      </c>
    </row>
    <row r="212" spans="1:14">
      <c r="A212" t="s">
        <v>686</v>
      </c>
      <c r="B212" t="s">
        <v>687</v>
      </c>
      <c r="C212" t="s">
        <v>688</v>
      </c>
      <c r="D212" t="s">
        <v>17</v>
      </c>
      <c r="E212" t="s">
        <v>184</v>
      </c>
      <c r="F212" t="s">
        <v>79</v>
      </c>
      <c r="G212" s="4">
        <v>28.19</v>
      </c>
      <c r="H212" s="4">
        <v>59.95</v>
      </c>
      <c r="I212" s="6">
        <v>214</v>
      </c>
      <c r="J212" s="6">
        <v>30</v>
      </c>
      <c r="K212" t="s">
        <v>44</v>
      </c>
      <c r="L212" s="1">
        <v>45380</v>
      </c>
      <c r="M212" s="4">
        <f t="shared" si="5"/>
        <v>6032.66</v>
      </c>
      <c r="N212" t="str">
        <f t="shared" si="6"/>
        <v>Sufficient Stock</v>
      </c>
    </row>
    <row r="213" spans="1:14">
      <c r="A213" t="s">
        <v>689</v>
      </c>
      <c r="B213" t="s">
        <v>690</v>
      </c>
      <c r="C213" t="s">
        <v>691</v>
      </c>
      <c r="D213" t="s">
        <v>73</v>
      </c>
      <c r="E213" t="s">
        <v>184</v>
      </c>
      <c r="F213" t="s">
        <v>19</v>
      </c>
      <c r="G213" s="4">
        <v>40.200000000000003</v>
      </c>
      <c r="H213" s="4">
        <v>58.74</v>
      </c>
      <c r="I213" s="6">
        <v>144</v>
      </c>
      <c r="J213" s="6">
        <v>40</v>
      </c>
      <c r="K213" t="s">
        <v>97</v>
      </c>
      <c r="L213" s="1">
        <v>46267</v>
      </c>
      <c r="M213" s="4">
        <f t="shared" si="5"/>
        <v>5788.8</v>
      </c>
      <c r="N213" t="str">
        <f t="shared" si="6"/>
        <v>Sufficient Stock</v>
      </c>
    </row>
    <row r="214" spans="1:14">
      <c r="A214" t="s">
        <v>692</v>
      </c>
      <c r="B214" t="s">
        <v>693</v>
      </c>
      <c r="C214" t="s">
        <v>694</v>
      </c>
      <c r="D214" t="s">
        <v>30</v>
      </c>
      <c r="E214" t="s">
        <v>48</v>
      </c>
      <c r="F214" t="s">
        <v>25</v>
      </c>
      <c r="G214" s="4">
        <v>57.59</v>
      </c>
      <c r="H214" s="4">
        <v>121.19</v>
      </c>
      <c r="I214" s="6">
        <v>96</v>
      </c>
      <c r="J214" s="6">
        <v>5</v>
      </c>
      <c r="K214" t="s">
        <v>44</v>
      </c>
      <c r="L214" s="1">
        <v>45917</v>
      </c>
      <c r="M214" s="4">
        <f t="shared" si="5"/>
        <v>5528.64</v>
      </c>
      <c r="N214" t="str">
        <f t="shared" si="6"/>
        <v>Sufficient Stock</v>
      </c>
    </row>
    <row r="215" spans="1:14">
      <c r="A215" t="s">
        <v>695</v>
      </c>
      <c r="B215" t="s">
        <v>696</v>
      </c>
      <c r="C215" t="s">
        <v>697</v>
      </c>
      <c r="D215" t="s">
        <v>73</v>
      </c>
      <c r="E215" t="s">
        <v>24</v>
      </c>
      <c r="F215" t="s">
        <v>25</v>
      </c>
      <c r="G215" s="4">
        <v>21.65</v>
      </c>
      <c r="H215" s="4">
        <v>31.57</v>
      </c>
      <c r="I215" s="6">
        <v>94</v>
      </c>
      <c r="J215" s="6">
        <v>5</v>
      </c>
      <c r="K215" t="s">
        <v>20</v>
      </c>
      <c r="L215" s="1">
        <v>45945</v>
      </c>
      <c r="M215" s="4">
        <f t="shared" si="5"/>
        <v>2035.1</v>
      </c>
      <c r="N215" t="str">
        <f t="shared" si="6"/>
        <v>Sufficient Stock</v>
      </c>
    </row>
    <row r="216" spans="1:14">
      <c r="A216" t="s">
        <v>698</v>
      </c>
      <c r="B216" t="s">
        <v>699</v>
      </c>
      <c r="C216" t="s">
        <v>700</v>
      </c>
      <c r="D216" t="s">
        <v>87</v>
      </c>
      <c r="E216" t="s">
        <v>43</v>
      </c>
      <c r="F216" t="s">
        <v>49</v>
      </c>
      <c r="G216" s="4">
        <v>10.75</v>
      </c>
      <c r="H216" s="4">
        <v>22.4</v>
      </c>
      <c r="I216" s="6">
        <v>246</v>
      </c>
      <c r="J216" s="6">
        <v>5</v>
      </c>
      <c r="K216" t="s">
        <v>50</v>
      </c>
      <c r="L216" s="1">
        <v>46248</v>
      </c>
      <c r="M216" s="4">
        <f t="shared" si="5"/>
        <v>2644.5</v>
      </c>
      <c r="N216" t="str">
        <f t="shared" si="6"/>
        <v>Sufficient Stock</v>
      </c>
    </row>
    <row r="217" spans="1:14">
      <c r="A217" t="s">
        <v>701</v>
      </c>
      <c r="B217" t="s">
        <v>702</v>
      </c>
      <c r="C217" t="s">
        <v>703</v>
      </c>
      <c r="D217" t="s">
        <v>198</v>
      </c>
      <c r="E217" t="s">
        <v>31</v>
      </c>
      <c r="F217" t="s">
        <v>159</v>
      </c>
      <c r="G217" s="4">
        <v>55.66</v>
      </c>
      <c r="H217" s="4">
        <v>80.290000000000006</v>
      </c>
      <c r="I217" s="6">
        <v>118</v>
      </c>
      <c r="J217" s="6">
        <v>30</v>
      </c>
      <c r="K217" t="s">
        <v>20</v>
      </c>
      <c r="L217" s="1">
        <v>46275</v>
      </c>
      <c r="M217" s="4">
        <f t="shared" si="5"/>
        <v>6567.8799999999992</v>
      </c>
      <c r="N217" t="str">
        <f t="shared" si="6"/>
        <v>Sufficient Stock</v>
      </c>
    </row>
    <row r="218" spans="1:14">
      <c r="A218" t="s">
        <v>704</v>
      </c>
      <c r="B218" t="s">
        <v>705</v>
      </c>
      <c r="C218" t="s">
        <v>706</v>
      </c>
      <c r="D218" t="s">
        <v>54</v>
      </c>
      <c r="E218" t="s">
        <v>121</v>
      </c>
      <c r="F218" t="s">
        <v>74</v>
      </c>
      <c r="G218" s="4">
        <v>28.92</v>
      </c>
      <c r="H218" s="4">
        <v>70.12</v>
      </c>
      <c r="I218" s="6">
        <v>219</v>
      </c>
      <c r="J218" s="6">
        <v>25</v>
      </c>
      <c r="K218" t="s">
        <v>26</v>
      </c>
      <c r="L218" s="1">
        <v>45520</v>
      </c>
      <c r="M218" s="4">
        <f t="shared" si="5"/>
        <v>6333.4800000000005</v>
      </c>
      <c r="N218" t="str">
        <f t="shared" si="6"/>
        <v>Sufficient Stock</v>
      </c>
    </row>
    <row r="219" spans="1:14">
      <c r="A219" t="s">
        <v>707</v>
      </c>
      <c r="B219" t="s">
        <v>708</v>
      </c>
      <c r="C219" t="s">
        <v>709</v>
      </c>
      <c r="D219" t="s">
        <v>17</v>
      </c>
      <c r="E219" t="s">
        <v>31</v>
      </c>
      <c r="F219" t="s">
        <v>79</v>
      </c>
      <c r="G219" s="4">
        <v>9.25</v>
      </c>
      <c r="H219" s="4">
        <v>13.09</v>
      </c>
      <c r="I219" s="6">
        <v>89</v>
      </c>
      <c r="J219" s="6">
        <v>30</v>
      </c>
      <c r="K219" t="s">
        <v>44</v>
      </c>
      <c r="L219" s="1">
        <v>46089</v>
      </c>
      <c r="M219" s="4">
        <f t="shared" si="5"/>
        <v>823.25</v>
      </c>
      <c r="N219" t="str">
        <f t="shared" si="6"/>
        <v>Sufficient Stock</v>
      </c>
    </row>
    <row r="220" spans="1:14">
      <c r="A220" t="s">
        <v>710</v>
      </c>
      <c r="B220" t="s">
        <v>711</v>
      </c>
      <c r="C220" t="s">
        <v>712</v>
      </c>
      <c r="D220" t="s">
        <v>54</v>
      </c>
      <c r="E220" t="s">
        <v>184</v>
      </c>
      <c r="F220" t="s">
        <v>32</v>
      </c>
      <c r="G220" s="4">
        <v>34.67</v>
      </c>
      <c r="H220" s="4">
        <v>63.08</v>
      </c>
      <c r="I220" s="6">
        <v>246</v>
      </c>
      <c r="J220" s="6">
        <v>10</v>
      </c>
      <c r="K220" t="s">
        <v>50</v>
      </c>
      <c r="L220" s="1">
        <v>46065</v>
      </c>
      <c r="M220" s="4">
        <f t="shared" si="5"/>
        <v>8528.82</v>
      </c>
      <c r="N220" t="str">
        <f t="shared" si="6"/>
        <v>Sufficient Stock</v>
      </c>
    </row>
    <row r="221" spans="1:14">
      <c r="A221" t="s">
        <v>713</v>
      </c>
      <c r="B221" t="s">
        <v>714</v>
      </c>
      <c r="C221" t="s">
        <v>715</v>
      </c>
      <c r="D221" t="s">
        <v>30</v>
      </c>
      <c r="E221" t="s">
        <v>24</v>
      </c>
      <c r="F221" t="s">
        <v>74</v>
      </c>
      <c r="G221" s="4">
        <v>67.540000000000006</v>
      </c>
      <c r="H221" s="4">
        <v>133.32</v>
      </c>
      <c r="I221" s="6">
        <v>142</v>
      </c>
      <c r="J221" s="6">
        <v>5</v>
      </c>
      <c r="K221" t="s">
        <v>38</v>
      </c>
      <c r="L221" s="1">
        <v>45723</v>
      </c>
      <c r="M221" s="4">
        <f t="shared" si="5"/>
        <v>9590.68</v>
      </c>
      <c r="N221" t="str">
        <f t="shared" si="6"/>
        <v>Sufficient Stock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DE0DD-8EBA-4665-B2DB-A7A06B86EBF5}">
  <dimension ref="A1:S221"/>
  <sheetViews>
    <sheetView workbookViewId="0">
      <pane ySplit="1" topLeftCell="I2" activePane="bottomLeft" state="frozen"/>
      <selection pane="bottomLeft" activeCell="V13" sqref="V13"/>
    </sheetView>
  </sheetViews>
  <sheetFormatPr defaultRowHeight="15"/>
  <cols>
    <col min="1" max="1" width="13.140625" bestFit="1" customWidth="1"/>
    <col min="2" max="2" width="14.7109375" bestFit="1" customWidth="1"/>
    <col min="3" max="3" width="13.140625" customWidth="1"/>
    <col min="4" max="4" width="45.42578125" bestFit="1" customWidth="1"/>
    <col min="5" max="5" width="45.42578125" customWidth="1"/>
    <col min="6" max="6" width="15.7109375" bestFit="1" customWidth="1"/>
    <col min="7" max="7" width="15.7109375" customWidth="1"/>
    <col min="8" max="8" width="17.42578125" bestFit="1" customWidth="1"/>
    <col min="9" max="9" width="17.42578125" customWidth="1"/>
    <col min="10" max="10" width="20.85546875" bestFit="1" customWidth="1"/>
    <col min="11" max="11" width="20.85546875" customWidth="1"/>
    <col min="12" max="12" width="16.28515625" style="4" bestFit="1" customWidth="1"/>
    <col min="13" max="13" width="19.140625" bestFit="1" customWidth="1"/>
    <col min="14" max="14" width="19.140625" style="4" customWidth="1"/>
    <col min="15" max="15" width="16.85546875" style="6" bestFit="1" customWidth="1"/>
    <col min="16" max="16" width="15.5703125" style="5" bestFit="1" customWidth="1"/>
    <col min="17" max="17" width="21.85546875" bestFit="1" customWidth="1"/>
    <col min="18" max="18" width="21.85546875" customWidth="1"/>
    <col min="19" max="19" width="16.5703125" style="1" bestFit="1" customWidth="1"/>
  </cols>
  <sheetData>
    <row r="1" spans="1:19">
      <c r="A1" t="s">
        <v>716</v>
      </c>
      <c r="B1" t="s">
        <v>717</v>
      </c>
      <c r="C1" t="s">
        <v>718</v>
      </c>
      <c r="D1" t="s">
        <v>719</v>
      </c>
      <c r="E1" t="s">
        <v>720</v>
      </c>
      <c r="F1" t="s">
        <v>721</v>
      </c>
      <c r="G1" t="s">
        <v>722</v>
      </c>
      <c r="H1" t="s">
        <v>723</v>
      </c>
      <c r="I1" t="s">
        <v>724</v>
      </c>
      <c r="J1" t="s">
        <v>725</v>
      </c>
      <c r="K1" t="s">
        <v>726</v>
      </c>
      <c r="L1" s="4" t="s">
        <v>727</v>
      </c>
      <c r="M1" t="s">
        <v>728</v>
      </c>
      <c r="N1" s="4" t="s">
        <v>729</v>
      </c>
      <c r="O1" s="6" t="s">
        <v>730</v>
      </c>
      <c r="P1" s="5" t="s">
        <v>731</v>
      </c>
      <c r="Q1" t="s">
        <v>732</v>
      </c>
      <c r="R1" t="s">
        <v>733</v>
      </c>
      <c r="S1" s="1" t="s">
        <v>734</v>
      </c>
    </row>
    <row r="2" spans="1:19">
      <c r="A2" t="s">
        <v>14</v>
      </c>
      <c r="B2" t="s">
        <v>15</v>
      </c>
      <c r="C2" t="str">
        <f t="shared" ref="C2:C65" si="0">UPPER(TRIM(B2))</f>
        <v>EC-ELE-0001</v>
      </c>
      <c r="D2" t="s">
        <v>16</v>
      </c>
      <c r="E2" t="str">
        <f t="shared" ref="E2:E65" si="1">TRIM(D2)</f>
        <v>PixelWorks Travel Webcam</v>
      </c>
      <c r="F2" t="s">
        <v>17</v>
      </c>
      <c r="G2" t="str">
        <f t="shared" ref="G2:G65" si="2">PROPER(TRIM(F2))</f>
        <v>Electronics</v>
      </c>
      <c r="H2" t="s">
        <v>735</v>
      </c>
      <c r="I2" t="str" cm="1">
        <f t="array" ref="I2">PROPER(IF(TRIM(H2)&lt;&gt;"",TRIM(H2),IFERROR(INDEX('Brand Reference'!$A$2:$A$13,MATCH(TRUE,ISNUMBER(SEARCH('Brand Reference'!$A$2:$A$13,E2)),0)),"Unknown")))</f>
        <v>Pixelworks</v>
      </c>
      <c r="J2" t="s">
        <v>19</v>
      </c>
      <c r="K2" t="str">
        <f t="shared" ref="K2:K65" si="3">IF(J2="","Unknown",TRIM(PROPER(J2)))</f>
        <v>Dovetail Trading Co.</v>
      </c>
      <c r="L2" s="4">
        <v>81.099999999999994</v>
      </c>
      <c r="M2">
        <v>188.36</v>
      </c>
      <c r="N2" s="4">
        <f t="shared" ref="N2:N65" si="4">VALUE(SUBSTITUTE(M2," GBP",""))</f>
        <v>188.36</v>
      </c>
      <c r="O2" s="6">
        <v>215</v>
      </c>
      <c r="P2" s="6">
        <v>40</v>
      </c>
      <c r="Q2" t="s">
        <v>20</v>
      </c>
      <c r="R2" t="str">
        <f t="shared" ref="R2:R65" si="5">UPPER(TRIM(Q2))</f>
        <v>LON-A1</v>
      </c>
      <c r="S2" s="1">
        <v>46195</v>
      </c>
    </row>
    <row r="3" spans="1:19">
      <c r="A3" t="s">
        <v>21</v>
      </c>
      <c r="B3" t="s">
        <v>22</v>
      </c>
      <c r="C3" t="str">
        <f t="shared" si="0"/>
        <v>EC-ELE-0002</v>
      </c>
      <c r="D3" t="s">
        <v>23</v>
      </c>
      <c r="E3" t="str">
        <f t="shared" si="1"/>
        <v>Everyday Co. Pro Phone Charger</v>
      </c>
      <c r="F3" t="s">
        <v>17</v>
      </c>
      <c r="G3" t="str">
        <f t="shared" si="2"/>
        <v>Electronics</v>
      </c>
      <c r="H3" t="s">
        <v>24</v>
      </c>
      <c r="I3" t="str" cm="1">
        <f t="array" ref="I3">PROPER(IF(TRIM(H3)&lt;&gt;"",TRIM(H3),IFERROR(INDEX('Brand Reference'!$A$2:$A$13,MATCH(TRUE,ISNUMBER(SEARCH('Brand Reference'!$A$2:$A$13,E3)),0)),"Unknown")))</f>
        <v>Everyday Co.</v>
      </c>
      <c r="J3" t="s">
        <v>25</v>
      </c>
      <c r="K3" t="str">
        <f t="shared" si="3"/>
        <v>Everwell Supply</v>
      </c>
      <c r="L3" s="4">
        <v>69.66</v>
      </c>
      <c r="M3" t="s">
        <v>736</v>
      </c>
      <c r="N3" s="4">
        <f t="shared" si="4"/>
        <v>146.54</v>
      </c>
      <c r="O3" s="6">
        <v>160</v>
      </c>
      <c r="P3" s="6">
        <v>15</v>
      </c>
      <c r="Q3" t="s">
        <v>26</v>
      </c>
      <c r="R3" t="str">
        <f t="shared" si="5"/>
        <v>MAN-A1</v>
      </c>
    </row>
    <row r="4" spans="1:19">
      <c r="A4" t="s">
        <v>27</v>
      </c>
      <c r="B4" t="s">
        <v>737</v>
      </c>
      <c r="C4" t="str">
        <f t="shared" si="0"/>
        <v>EC-HOM-0003</v>
      </c>
      <c r="D4" t="s">
        <v>29</v>
      </c>
      <c r="E4" t="str">
        <f t="shared" si="1"/>
        <v>Kindred Travel LED Strip Lights</v>
      </c>
      <c r="F4" t="s">
        <v>30</v>
      </c>
      <c r="G4" t="str">
        <f t="shared" si="2"/>
        <v>Home &amp; Office</v>
      </c>
      <c r="H4" t="s">
        <v>31</v>
      </c>
      <c r="I4" t="str" cm="1">
        <f t="array" ref="I4">PROPER(IF(TRIM(H4)&lt;&gt;"",TRIM(H4),IFERROR(INDEX('Brand Reference'!$A$2:$A$13,MATCH(TRUE,ISNUMBER(SEARCH('Brand Reference'!$A$2:$A$13,E4)),0)),"Unknown")))</f>
        <v>Kindred</v>
      </c>
      <c r="J4" t="s">
        <v>32</v>
      </c>
      <c r="K4" t="str">
        <f t="shared" si="3"/>
        <v>Juniper Merchants</v>
      </c>
      <c r="L4" s="4">
        <v>9.6199999999999992</v>
      </c>
      <c r="M4">
        <v>18.68</v>
      </c>
      <c r="N4" s="4">
        <f t="shared" si="4"/>
        <v>18.68</v>
      </c>
      <c r="O4" s="6">
        <v>147</v>
      </c>
      <c r="P4" s="6">
        <v>40</v>
      </c>
      <c r="Q4" t="s">
        <v>26</v>
      </c>
      <c r="R4" t="str">
        <f t="shared" si="5"/>
        <v>MAN-A1</v>
      </c>
      <c r="S4" s="1">
        <v>45580</v>
      </c>
    </row>
    <row r="5" spans="1:19">
      <c r="A5" t="s">
        <v>33</v>
      </c>
      <c r="B5" t="s">
        <v>34</v>
      </c>
      <c r="C5" t="str">
        <f t="shared" si="0"/>
        <v>EC-KIT-0004</v>
      </c>
      <c r="D5" t="s">
        <v>35</v>
      </c>
      <c r="E5" t="str">
        <f t="shared" si="1"/>
        <v>PixelWorks Essential Food Storage Set - Charcoal</v>
      </c>
      <c r="F5" t="s">
        <v>36</v>
      </c>
      <c r="G5" t="str">
        <f t="shared" si="2"/>
        <v>Kitchen</v>
      </c>
      <c r="H5" t="s">
        <v>738</v>
      </c>
      <c r="I5" t="str" cm="1">
        <f t="array" ref="I5">PROPER(IF(TRIM(H5)&lt;&gt;"",TRIM(H5),IFERROR(INDEX('Brand Reference'!$A$2:$A$13,MATCH(TRUE,ISNUMBER(SEARCH('Brand Reference'!$A$2:$A$13,E5)),0)),"Unknown")))</f>
        <v>Pixelworks</v>
      </c>
      <c r="J5" t="s">
        <v>37</v>
      </c>
      <c r="K5" t="str">
        <f t="shared" si="3"/>
        <v>Greenway Goods</v>
      </c>
      <c r="L5" s="4">
        <v>75.97</v>
      </c>
      <c r="M5">
        <v>148.88999999999999</v>
      </c>
      <c r="N5" s="4">
        <f t="shared" si="4"/>
        <v>148.88999999999999</v>
      </c>
      <c r="O5" s="6">
        <v>59</v>
      </c>
      <c r="P5" s="6">
        <v>30</v>
      </c>
      <c r="Q5" t="s">
        <v>38</v>
      </c>
      <c r="R5" t="str">
        <f t="shared" si="5"/>
        <v>GLA-A2</v>
      </c>
      <c r="S5" s="1">
        <v>46297</v>
      </c>
    </row>
    <row r="6" spans="1:19">
      <c r="A6" t="s">
        <v>39</v>
      </c>
      <c r="B6" t="s">
        <v>739</v>
      </c>
      <c r="C6" t="str">
        <f t="shared" si="0"/>
        <v>EC-ACC-0005</v>
      </c>
      <c r="D6" t="s">
        <v>41</v>
      </c>
      <c r="E6" t="str">
        <f t="shared" si="1"/>
        <v>Kite &amp; Key Essential Screen Protector</v>
      </c>
      <c r="F6" t="s">
        <v>42</v>
      </c>
      <c r="G6" t="str">
        <f t="shared" si="2"/>
        <v>Accessories</v>
      </c>
      <c r="H6" t="s">
        <v>43</v>
      </c>
      <c r="I6" t="str" cm="1">
        <f t="array" ref="I6">PROPER(IF(TRIM(H6)&lt;&gt;"",TRIM(H6),IFERROR(INDEX('Brand Reference'!$A$2:$A$13,MATCH(TRUE,ISNUMBER(SEARCH('Brand Reference'!$A$2:$A$13,E6)),0)),"Unknown")))</f>
        <v>Kite &amp; Key</v>
      </c>
      <c r="J6" t="s">
        <v>32</v>
      </c>
      <c r="K6" t="str">
        <f t="shared" si="3"/>
        <v>Juniper Merchants</v>
      </c>
      <c r="L6" s="4">
        <v>4.3</v>
      </c>
      <c r="M6">
        <v>6.87</v>
      </c>
      <c r="N6" s="4">
        <f t="shared" si="4"/>
        <v>6.87</v>
      </c>
      <c r="O6" s="6">
        <v>66</v>
      </c>
      <c r="P6" s="6">
        <v>5</v>
      </c>
      <c r="Q6" t="s">
        <v>44</v>
      </c>
      <c r="R6" t="str">
        <f t="shared" si="5"/>
        <v>BHM-C3</v>
      </c>
      <c r="S6" s="1">
        <v>45502</v>
      </c>
    </row>
    <row r="7" spans="1:19">
      <c r="A7" t="s">
        <v>45</v>
      </c>
      <c r="B7" t="s">
        <v>46</v>
      </c>
      <c r="C7" t="str">
        <f t="shared" si="0"/>
        <v>EC-HOM-0006</v>
      </c>
      <c r="D7" t="s">
        <v>47</v>
      </c>
      <c r="E7" t="str">
        <f t="shared" si="1"/>
        <v>Morrow Everyday Desk Lamp</v>
      </c>
      <c r="F7" t="s">
        <v>30</v>
      </c>
      <c r="G7" t="str">
        <f t="shared" si="2"/>
        <v>Home &amp; Office</v>
      </c>
      <c r="H7" t="s">
        <v>740</v>
      </c>
      <c r="I7" t="str" cm="1">
        <f t="array" ref="I7">PROPER(IF(TRIM(H7)&lt;&gt;"",TRIM(H7),IFERROR(INDEX('Brand Reference'!$A$2:$A$13,MATCH(TRUE,ISNUMBER(SEARCH('Brand Reference'!$A$2:$A$13,E7)),0)),"Unknown")))</f>
        <v>Morrow</v>
      </c>
      <c r="J7" t="s">
        <v>49</v>
      </c>
      <c r="K7" t="str">
        <f t="shared" si="3"/>
        <v>Ivory Peak Logistics</v>
      </c>
      <c r="L7" s="4">
        <v>40.020000000000003</v>
      </c>
      <c r="M7">
        <v>74.69</v>
      </c>
      <c r="N7" s="4">
        <f t="shared" si="4"/>
        <v>74.69</v>
      </c>
      <c r="O7" s="6">
        <v>128</v>
      </c>
      <c r="P7" s="6">
        <v>30</v>
      </c>
      <c r="Q7" t="s">
        <v>50</v>
      </c>
      <c r="R7" t="str">
        <f t="shared" si="5"/>
        <v>LDS-B1</v>
      </c>
      <c r="S7" s="1">
        <v>45922</v>
      </c>
    </row>
    <row r="8" spans="1:19">
      <c r="A8" t="s">
        <v>51</v>
      </c>
      <c r="B8" t="s">
        <v>52</v>
      </c>
      <c r="C8" t="str">
        <f t="shared" si="0"/>
        <v>EC-BEA-0007</v>
      </c>
      <c r="D8" t="s">
        <v>53</v>
      </c>
      <c r="E8" t="str">
        <f t="shared" si="1"/>
        <v>Harbour &amp; Hill Deluxe Hand Cream</v>
      </c>
      <c r="F8" t="s">
        <v>54</v>
      </c>
      <c r="G8" t="str">
        <f t="shared" si="2"/>
        <v>Beauty</v>
      </c>
      <c r="H8" t="s">
        <v>741</v>
      </c>
      <c r="I8" t="str" cm="1">
        <f t="array" ref="I8">PROPER(IF(TRIM(H8)&lt;&gt;"",TRIM(H8),IFERROR(INDEX('Brand Reference'!$A$2:$A$13,MATCH(TRUE,ISNUMBER(SEARCH('Brand Reference'!$A$2:$A$13,E8)),0)),"Unknown")))</f>
        <v>Harbour &amp; Hill</v>
      </c>
      <c r="J8" t="s">
        <v>19</v>
      </c>
      <c r="K8" t="str">
        <f t="shared" si="3"/>
        <v>Dovetail Trading Co.</v>
      </c>
      <c r="L8" s="4">
        <v>24.48</v>
      </c>
      <c r="M8">
        <v>33.94</v>
      </c>
      <c r="N8" s="4">
        <f t="shared" si="4"/>
        <v>33.94</v>
      </c>
      <c r="P8" s="6">
        <v>40</v>
      </c>
      <c r="Q8" t="s">
        <v>26</v>
      </c>
      <c r="R8" t="str">
        <f t="shared" si="5"/>
        <v>MAN-A1</v>
      </c>
      <c r="S8" s="1">
        <v>46029</v>
      </c>
    </row>
    <row r="9" spans="1:19">
      <c r="A9" t="s">
        <v>56</v>
      </c>
      <c r="B9" t="s">
        <v>57</v>
      </c>
      <c r="C9" t="str">
        <f t="shared" si="0"/>
        <v>EC-BEA-0008</v>
      </c>
      <c r="D9" t="s">
        <v>58</v>
      </c>
      <c r="E9" t="str">
        <f t="shared" si="1"/>
        <v>Morrow Travel Shampoo</v>
      </c>
      <c r="F9" t="s">
        <v>742</v>
      </c>
      <c r="G9" t="str">
        <f t="shared" si="2"/>
        <v>Beauty</v>
      </c>
      <c r="H9" t="s">
        <v>48</v>
      </c>
      <c r="I9" t="str" cm="1">
        <f t="array" ref="I9">PROPER(IF(TRIM(H9)&lt;&gt;"",TRIM(H9),IFERROR(INDEX('Brand Reference'!$A$2:$A$13,MATCH(TRUE,ISNUMBER(SEARCH('Brand Reference'!$A$2:$A$13,E9)),0)),"Unknown")))</f>
        <v>Morrow</v>
      </c>
      <c r="J9" t="s">
        <v>59</v>
      </c>
      <c r="K9" t="str">
        <f t="shared" si="3"/>
        <v>Bluegate Distribution</v>
      </c>
      <c r="L9" s="4">
        <v>48.39</v>
      </c>
      <c r="M9">
        <v>113.62</v>
      </c>
      <c r="N9" s="4">
        <f t="shared" si="4"/>
        <v>113.62</v>
      </c>
      <c r="O9" s="6">
        <v>148</v>
      </c>
      <c r="P9" s="6">
        <v>25</v>
      </c>
      <c r="Q9" t="s">
        <v>44</v>
      </c>
      <c r="R9" t="str">
        <f t="shared" si="5"/>
        <v>BHM-C3</v>
      </c>
      <c r="S9" s="1">
        <v>46229</v>
      </c>
    </row>
    <row r="10" spans="1:19">
      <c r="A10" t="s">
        <v>60</v>
      </c>
      <c r="B10" t="s">
        <v>61</v>
      </c>
      <c r="C10" t="str">
        <f t="shared" si="0"/>
        <v>EC-PET-0009</v>
      </c>
      <c r="D10" t="s">
        <v>62</v>
      </c>
      <c r="E10" t="str">
        <f t="shared" si="1"/>
        <v>Oak &amp; Ember Essential Dog Lead</v>
      </c>
      <c r="F10" t="s">
        <v>63</v>
      </c>
      <c r="G10" t="str">
        <f t="shared" si="2"/>
        <v>Pet Supplies</v>
      </c>
      <c r="H10" t="s">
        <v>64</v>
      </c>
      <c r="I10" t="str" cm="1">
        <f t="array" ref="I10">PROPER(IF(TRIM(H10)&lt;&gt;"",TRIM(H10),IFERROR(INDEX('Brand Reference'!$A$2:$A$13,MATCH(TRUE,ISNUMBER(SEARCH('Brand Reference'!$A$2:$A$13,E10)),0)),"Unknown")))</f>
        <v>Oak &amp; Ember</v>
      </c>
      <c r="K10" t="str">
        <f t="shared" si="3"/>
        <v>Unknown</v>
      </c>
      <c r="L10" s="4">
        <v>71.95</v>
      </c>
      <c r="M10">
        <v>135.05000000000001</v>
      </c>
      <c r="N10" s="4">
        <f t="shared" si="4"/>
        <v>135.05000000000001</v>
      </c>
      <c r="O10" s="6">
        <v>32</v>
      </c>
      <c r="P10" s="6">
        <v>20</v>
      </c>
      <c r="Q10" t="s">
        <v>20</v>
      </c>
      <c r="R10" t="str">
        <f t="shared" si="5"/>
        <v>LON-A1</v>
      </c>
      <c r="S10" s="1">
        <v>46312</v>
      </c>
    </row>
    <row r="11" spans="1:19">
      <c r="A11" t="s">
        <v>66</v>
      </c>
      <c r="B11" t="s">
        <v>67</v>
      </c>
      <c r="C11" t="str">
        <f t="shared" si="0"/>
        <v>EC-ACC-0010</v>
      </c>
      <c r="D11" t="s">
        <v>68</v>
      </c>
      <c r="E11" t="str">
        <f t="shared" si="1"/>
        <v>Urban Field Essential Screen Protector - Black</v>
      </c>
      <c r="F11" t="s">
        <v>42</v>
      </c>
      <c r="G11" t="str">
        <f t="shared" si="2"/>
        <v>Accessories</v>
      </c>
      <c r="H11" t="s">
        <v>69</v>
      </c>
      <c r="I11" t="str" cm="1">
        <f t="array" ref="I11">PROPER(IF(TRIM(H11)&lt;&gt;"",TRIM(H11),IFERROR(INDEX('Brand Reference'!$A$2:$A$13,MATCH(TRUE,ISNUMBER(SEARCH('Brand Reference'!$A$2:$A$13,E11)),0)),"Unknown")))</f>
        <v>Urban Field</v>
      </c>
      <c r="J11" t="s">
        <v>743</v>
      </c>
      <c r="K11" t="str">
        <f t="shared" si="3"/>
        <v>Bluegate Distribution</v>
      </c>
      <c r="L11" s="4">
        <v>39.56</v>
      </c>
      <c r="M11">
        <v>77.19</v>
      </c>
      <c r="N11" s="4">
        <f t="shared" si="4"/>
        <v>77.19</v>
      </c>
      <c r="O11" s="6">
        <v>42</v>
      </c>
      <c r="P11" s="6">
        <v>15</v>
      </c>
      <c r="Q11" t="s">
        <v>38</v>
      </c>
      <c r="R11" t="str">
        <f t="shared" si="5"/>
        <v>GLA-A2</v>
      </c>
      <c r="S11" s="1">
        <v>45799</v>
      </c>
    </row>
    <row r="12" spans="1:19">
      <c r="A12" t="s">
        <v>70</v>
      </c>
      <c r="B12" t="s">
        <v>71</v>
      </c>
      <c r="C12" t="str">
        <f t="shared" si="0"/>
        <v>EC-GAR-0011</v>
      </c>
      <c r="D12" t="s">
        <v>72</v>
      </c>
      <c r="E12" t="str">
        <f t="shared" si="1"/>
        <v>Oak &amp; Ember Eco Garden Gloves - Rose</v>
      </c>
      <c r="F12" t="s">
        <v>73</v>
      </c>
      <c r="G12" t="str">
        <f t="shared" si="2"/>
        <v>Garden</v>
      </c>
      <c r="H12" t="s">
        <v>64</v>
      </c>
      <c r="I12" t="str" cm="1">
        <f t="array" ref="I12">PROPER(IF(TRIM(H12)&lt;&gt;"",TRIM(H12),IFERROR(INDEX('Brand Reference'!$A$2:$A$13,MATCH(TRUE,ISNUMBER(SEARCH('Brand Reference'!$A$2:$A$13,E12)),0)),"Unknown")))</f>
        <v>Oak &amp; Ember</v>
      </c>
      <c r="J12" t="s">
        <v>74</v>
      </c>
      <c r="K12" t="str">
        <f t="shared" si="3"/>
        <v>Harbour Stockists</v>
      </c>
      <c r="L12" s="4">
        <v>28.15</v>
      </c>
      <c r="M12">
        <v>56.06</v>
      </c>
      <c r="N12" s="4">
        <f t="shared" si="4"/>
        <v>56.06</v>
      </c>
      <c r="O12" s="6">
        <v>251</v>
      </c>
      <c r="P12" s="6">
        <v>12</v>
      </c>
      <c r="Q12" t="s">
        <v>38</v>
      </c>
      <c r="R12" t="str">
        <f t="shared" si="5"/>
        <v>GLA-A2</v>
      </c>
    </row>
    <row r="13" spans="1:19">
      <c r="A13" t="s">
        <v>75</v>
      </c>
      <c r="B13" t="s">
        <v>76</v>
      </c>
      <c r="C13" t="str">
        <f t="shared" si="0"/>
        <v>EC-TRA-0012</v>
      </c>
      <c r="D13" t="s">
        <v>744</v>
      </c>
      <c r="E13" t="str">
        <f t="shared" si="1"/>
        <v>Kindred Travel Packing Cubes - Sage</v>
      </c>
      <c r="F13" t="s">
        <v>78</v>
      </c>
      <c r="G13" t="str">
        <f t="shared" si="2"/>
        <v>Travel</v>
      </c>
      <c r="H13" t="s">
        <v>31</v>
      </c>
      <c r="I13" t="str" cm="1">
        <f t="array" ref="I13">PROPER(IF(TRIM(H13)&lt;&gt;"",TRIM(H13),IFERROR(INDEX('Brand Reference'!$A$2:$A$13,MATCH(TRUE,ISNUMBER(SEARCH('Brand Reference'!$A$2:$A$13,E13)),0)),"Unknown")))</f>
        <v>Kindred</v>
      </c>
      <c r="J13" t="s">
        <v>745</v>
      </c>
      <c r="K13" t="str">
        <f t="shared" si="3"/>
        <v>Crownline Imports</v>
      </c>
      <c r="L13" s="4">
        <v>57.56</v>
      </c>
      <c r="M13">
        <v>136.91</v>
      </c>
      <c r="N13" s="4">
        <f t="shared" si="4"/>
        <v>136.91</v>
      </c>
      <c r="O13" s="6">
        <v>156</v>
      </c>
      <c r="P13" s="6">
        <v>30</v>
      </c>
      <c r="Q13" t="s">
        <v>38</v>
      </c>
      <c r="R13" t="str">
        <f t="shared" si="5"/>
        <v>GLA-A2</v>
      </c>
      <c r="S13" s="1">
        <v>46091</v>
      </c>
    </row>
    <row r="14" spans="1:19">
      <c r="A14" t="s">
        <v>80</v>
      </c>
      <c r="B14" t="s">
        <v>81</v>
      </c>
      <c r="C14" t="str">
        <f t="shared" si="0"/>
        <v>EC-HOM-0013</v>
      </c>
      <c r="D14" t="s">
        <v>82</v>
      </c>
      <c r="E14" t="str">
        <f t="shared" si="1"/>
        <v>Northstar Compact LED Strip Lights</v>
      </c>
      <c r="F14" t="s">
        <v>30</v>
      </c>
      <c r="G14" t="str">
        <f t="shared" si="2"/>
        <v>Home &amp; Office</v>
      </c>
      <c r="H14" t="s">
        <v>83</v>
      </c>
      <c r="I14" t="str" cm="1">
        <f t="array" ref="I14">PROPER(IF(TRIM(H14)&lt;&gt;"",TRIM(H14),IFERROR(INDEX('Brand Reference'!$A$2:$A$13,MATCH(TRUE,ISNUMBER(SEARCH('Brand Reference'!$A$2:$A$13,E14)),0)),"Unknown")))</f>
        <v>Northstar</v>
      </c>
      <c r="J14" t="s">
        <v>49</v>
      </c>
      <c r="K14" t="str">
        <f t="shared" si="3"/>
        <v>Ivory Peak Logistics</v>
      </c>
      <c r="L14" s="4">
        <v>6.45</v>
      </c>
      <c r="M14">
        <v>11.17</v>
      </c>
      <c r="N14" s="4">
        <f t="shared" si="4"/>
        <v>11.17</v>
      </c>
      <c r="O14" s="6">
        <v>180</v>
      </c>
      <c r="P14" s="6">
        <v>5</v>
      </c>
      <c r="Q14" t="s">
        <v>44</v>
      </c>
      <c r="R14" t="str">
        <f t="shared" si="5"/>
        <v>BHM-C3</v>
      </c>
      <c r="S14" s="1">
        <v>45344</v>
      </c>
    </row>
    <row r="15" spans="1:19">
      <c r="A15" t="s">
        <v>84</v>
      </c>
      <c r="B15" t="s">
        <v>746</v>
      </c>
      <c r="C15" t="str">
        <f t="shared" si="0"/>
        <v>EC-FIT-0014</v>
      </c>
      <c r="D15" t="s">
        <v>86</v>
      </c>
      <c r="E15" t="str">
        <f t="shared" si="1"/>
        <v>Morrow Mini Yoga Mat</v>
      </c>
      <c r="F15" t="s">
        <v>87</v>
      </c>
      <c r="G15" t="str">
        <f t="shared" si="2"/>
        <v>Fitness</v>
      </c>
      <c r="H15" t="s">
        <v>48</v>
      </c>
      <c r="I15" t="str" cm="1">
        <f t="array" ref="I15">PROPER(IF(TRIM(H15)&lt;&gt;"",TRIM(H15),IFERROR(INDEX('Brand Reference'!$A$2:$A$13,MATCH(TRUE,ISNUMBER(SEARCH('Brand Reference'!$A$2:$A$13,E15)),0)),"Unknown")))</f>
        <v>Morrow</v>
      </c>
      <c r="J15" t="s">
        <v>37</v>
      </c>
      <c r="K15" t="str">
        <f t="shared" si="3"/>
        <v>Greenway Goods</v>
      </c>
      <c r="L15" s="4">
        <v>40.83</v>
      </c>
      <c r="M15">
        <v>82.9</v>
      </c>
      <c r="N15" s="4">
        <f t="shared" si="4"/>
        <v>82.9</v>
      </c>
      <c r="O15" s="6">
        <v>87</v>
      </c>
      <c r="P15" s="6">
        <v>12</v>
      </c>
      <c r="Q15" t="s">
        <v>38</v>
      </c>
      <c r="R15" t="str">
        <f t="shared" si="5"/>
        <v>GLA-A2</v>
      </c>
      <c r="S15" s="1">
        <v>45715</v>
      </c>
    </row>
    <row r="16" spans="1:19">
      <c r="A16" t="s">
        <v>88</v>
      </c>
      <c r="B16" t="s">
        <v>89</v>
      </c>
      <c r="C16" t="str">
        <f t="shared" si="0"/>
        <v>EC-BEA-0015</v>
      </c>
      <c r="D16" t="s">
        <v>90</v>
      </c>
      <c r="E16" t="str">
        <f t="shared" si="1"/>
        <v>Kite &amp; Key Everyday Facial Cleanser</v>
      </c>
      <c r="F16" t="s">
        <v>54</v>
      </c>
      <c r="G16" t="str">
        <f t="shared" si="2"/>
        <v>Beauty</v>
      </c>
      <c r="H16" t="s">
        <v>747</v>
      </c>
      <c r="I16" t="str" cm="1">
        <f t="array" ref="I16">PROPER(IF(TRIM(H16)&lt;&gt;"",TRIM(H16),IFERROR(INDEX('Brand Reference'!$A$2:$A$13,MATCH(TRUE,ISNUMBER(SEARCH('Brand Reference'!$A$2:$A$13,E16)),0)),"Unknown")))</f>
        <v>Kite &amp; Key</v>
      </c>
      <c r="J16" t="s">
        <v>74</v>
      </c>
      <c r="K16" t="str">
        <f t="shared" si="3"/>
        <v>Harbour Stockists</v>
      </c>
      <c r="L16" s="4">
        <v>5.03</v>
      </c>
      <c r="M16">
        <v>10.37</v>
      </c>
      <c r="N16" s="4">
        <f t="shared" si="4"/>
        <v>10.37</v>
      </c>
      <c r="O16" s="6">
        <v>88</v>
      </c>
      <c r="P16" s="6">
        <v>5</v>
      </c>
      <c r="Q16" t="s">
        <v>50</v>
      </c>
      <c r="R16" t="str">
        <f t="shared" si="5"/>
        <v>LDS-B1</v>
      </c>
      <c r="S16" s="1">
        <v>45390</v>
      </c>
    </row>
    <row r="17" spans="1:19">
      <c r="A17" t="s">
        <v>91</v>
      </c>
      <c r="B17" t="s">
        <v>92</v>
      </c>
      <c r="C17" t="str">
        <f t="shared" si="0"/>
        <v>EC-BEA-0016</v>
      </c>
      <c r="D17" t="s">
        <v>93</v>
      </c>
      <c r="E17" t="str">
        <f t="shared" si="1"/>
        <v>Kindred Eco Hand Cream - Black</v>
      </c>
      <c r="F17" t="s">
        <v>54</v>
      </c>
      <c r="G17" t="str">
        <f t="shared" si="2"/>
        <v>Beauty</v>
      </c>
      <c r="H17" t="s">
        <v>748</v>
      </c>
      <c r="I17" t="str" cm="1">
        <f t="array" ref="I17">PROPER(IF(TRIM(H17)&lt;&gt;"",TRIM(H17),IFERROR(INDEX('Brand Reference'!$A$2:$A$13,MATCH(TRUE,ISNUMBER(SEARCH('Brand Reference'!$A$2:$A$13,E17)),0)),"Unknown")))</f>
        <v>Kindred</v>
      </c>
      <c r="J17" t="s">
        <v>37</v>
      </c>
      <c r="K17" t="str">
        <f t="shared" si="3"/>
        <v>Greenway Goods</v>
      </c>
      <c r="L17" s="4">
        <v>46.08</v>
      </c>
      <c r="M17" t="s">
        <v>749</v>
      </c>
      <c r="N17" s="4">
        <f t="shared" si="4"/>
        <v>102.02</v>
      </c>
      <c r="O17" s="6">
        <v>70</v>
      </c>
      <c r="P17" s="6">
        <v>12</v>
      </c>
      <c r="Q17" t="s">
        <v>26</v>
      </c>
      <c r="R17" t="str">
        <f t="shared" si="5"/>
        <v>MAN-A1</v>
      </c>
      <c r="S17" s="1">
        <v>45672</v>
      </c>
    </row>
    <row r="18" spans="1:19">
      <c r="A18" t="s">
        <v>94</v>
      </c>
      <c r="B18" t="s">
        <v>95</v>
      </c>
      <c r="C18" t="str">
        <f t="shared" si="0"/>
        <v>EC-GAR-0017</v>
      </c>
      <c r="D18" t="s">
        <v>96</v>
      </c>
      <c r="E18" t="str">
        <f t="shared" si="1"/>
        <v>Harbour &amp; Hill Compact Garden Gloves</v>
      </c>
      <c r="F18" t="s">
        <v>73</v>
      </c>
      <c r="G18" t="str">
        <f t="shared" si="2"/>
        <v>Garden</v>
      </c>
      <c r="H18" t="s">
        <v>55</v>
      </c>
      <c r="I18" t="str" cm="1">
        <f t="array" ref="I18">PROPER(IF(TRIM(H18)&lt;&gt;"",TRIM(H18),IFERROR(INDEX('Brand Reference'!$A$2:$A$13,MATCH(TRUE,ISNUMBER(SEARCH('Brand Reference'!$A$2:$A$13,E18)),0)),"Unknown")))</f>
        <v>Harbour &amp; Hill</v>
      </c>
      <c r="J18" t="s">
        <v>74</v>
      </c>
      <c r="K18" t="str">
        <f t="shared" si="3"/>
        <v>Harbour Stockists</v>
      </c>
      <c r="L18" s="4">
        <v>30.69</v>
      </c>
      <c r="M18" t="s">
        <v>750</v>
      </c>
      <c r="N18" s="4">
        <f t="shared" si="4"/>
        <v>50.33</v>
      </c>
      <c r="O18" s="6">
        <v>254</v>
      </c>
      <c r="P18" s="6">
        <v>30</v>
      </c>
      <c r="Q18" t="s">
        <v>97</v>
      </c>
      <c r="R18" t="str">
        <f t="shared" si="5"/>
        <v>LON-B2</v>
      </c>
      <c r="S18" s="1">
        <v>45881</v>
      </c>
    </row>
    <row r="19" spans="1:19">
      <c r="A19" t="s">
        <v>98</v>
      </c>
      <c r="B19" t="s">
        <v>99</v>
      </c>
      <c r="C19" t="str">
        <f t="shared" si="0"/>
        <v>EC-PET-0018</v>
      </c>
      <c r="D19" t="s">
        <v>100</v>
      </c>
      <c r="E19" t="str">
        <f t="shared" si="1"/>
        <v>Morrow Essential Cat Toy</v>
      </c>
      <c r="F19" t="s">
        <v>751</v>
      </c>
      <c r="G19" t="str">
        <f t="shared" si="2"/>
        <v>Pet Supplies</v>
      </c>
      <c r="H19" t="s">
        <v>48</v>
      </c>
      <c r="I19" t="str" cm="1">
        <f t="array" ref="I19">PROPER(IF(TRIM(H19)&lt;&gt;"",TRIM(H19),IFERROR(INDEX('Brand Reference'!$A$2:$A$13,MATCH(TRUE,ISNUMBER(SEARCH('Brand Reference'!$A$2:$A$13,E19)),0)),"Unknown")))</f>
        <v>Morrow</v>
      </c>
      <c r="J19" t="s">
        <v>101</v>
      </c>
      <c r="K19" t="str">
        <f t="shared" si="3"/>
        <v>Aster Wholesale Ltd</v>
      </c>
      <c r="L19" s="4">
        <v>45.65</v>
      </c>
      <c r="M19">
        <v>75.38</v>
      </c>
      <c r="N19" s="4">
        <f t="shared" si="4"/>
        <v>75.38</v>
      </c>
      <c r="O19" s="6">
        <v>48</v>
      </c>
      <c r="P19" s="6">
        <v>15</v>
      </c>
      <c r="Q19" t="s">
        <v>752</v>
      </c>
      <c r="R19" t="str">
        <f t="shared" si="5"/>
        <v>LON-A1</v>
      </c>
      <c r="S19" s="1">
        <v>45765</v>
      </c>
    </row>
    <row r="20" spans="1:19">
      <c r="A20" t="s">
        <v>102</v>
      </c>
      <c r="B20" t="s">
        <v>103</v>
      </c>
      <c r="C20" t="str">
        <f t="shared" si="0"/>
        <v>EC-KIT-0019</v>
      </c>
      <c r="D20" t="s">
        <v>104</v>
      </c>
      <c r="E20" t="str">
        <f t="shared" si="1"/>
        <v>Harbour &amp; Hill Travel Coffee Grinder</v>
      </c>
      <c r="F20" t="s">
        <v>753</v>
      </c>
      <c r="G20" t="str">
        <f t="shared" si="2"/>
        <v>Kitchen</v>
      </c>
      <c r="H20" t="s">
        <v>55</v>
      </c>
      <c r="I20" t="str" cm="1">
        <f t="array" ref="I20">PROPER(IF(TRIM(H20)&lt;&gt;"",TRIM(H20),IFERROR(INDEX('Brand Reference'!$A$2:$A$13,MATCH(TRUE,ISNUMBER(SEARCH('Brand Reference'!$A$2:$A$13,E20)),0)),"Unknown")))</f>
        <v>Harbour &amp; Hill</v>
      </c>
      <c r="J20" t="s">
        <v>49</v>
      </c>
      <c r="K20" t="str">
        <f t="shared" si="3"/>
        <v>Ivory Peak Logistics</v>
      </c>
      <c r="L20" s="4">
        <v>31.34</v>
      </c>
      <c r="M20">
        <v>47.71</v>
      </c>
      <c r="N20" s="4">
        <f t="shared" si="4"/>
        <v>47.71</v>
      </c>
      <c r="O20" s="6">
        <v>110</v>
      </c>
      <c r="P20" s="6">
        <v>10</v>
      </c>
      <c r="Q20" t="s">
        <v>38</v>
      </c>
      <c r="R20" t="str">
        <f t="shared" si="5"/>
        <v>GLA-A2</v>
      </c>
      <c r="S20" s="1">
        <v>45866</v>
      </c>
    </row>
    <row r="21" spans="1:19">
      <c r="A21" t="s">
        <v>105</v>
      </c>
      <c r="B21" t="s">
        <v>106</v>
      </c>
      <c r="C21" t="str">
        <f t="shared" si="0"/>
        <v>EC-HOM-0020</v>
      </c>
      <c r="D21" t="s">
        <v>107</v>
      </c>
      <c r="E21" t="str">
        <f t="shared" si="1"/>
        <v>Kite &amp; Key Pro Water Bottle</v>
      </c>
      <c r="F21" t="s">
        <v>30</v>
      </c>
      <c r="G21" t="str">
        <f t="shared" si="2"/>
        <v>Home &amp; Office</v>
      </c>
      <c r="H21" t="s">
        <v>43</v>
      </c>
      <c r="I21" t="str" cm="1">
        <f t="array" ref="I21">PROPER(IF(TRIM(H21)&lt;&gt;"",TRIM(H21),IFERROR(INDEX('Brand Reference'!$A$2:$A$13,MATCH(TRUE,ISNUMBER(SEARCH('Brand Reference'!$A$2:$A$13,E21)),0)),"Unknown")))</f>
        <v>Kite &amp; Key</v>
      </c>
      <c r="J21" t="s">
        <v>79</v>
      </c>
      <c r="K21" t="str">
        <f t="shared" si="3"/>
        <v>Crownline Imports</v>
      </c>
      <c r="L21" s="4">
        <v>48.21</v>
      </c>
      <c r="M21">
        <v>70.459999999999994</v>
      </c>
      <c r="N21" s="4">
        <f t="shared" si="4"/>
        <v>70.459999999999994</v>
      </c>
      <c r="O21" s="6">
        <v>135</v>
      </c>
      <c r="P21" s="6">
        <v>10</v>
      </c>
      <c r="Q21" t="s">
        <v>20</v>
      </c>
      <c r="R21" t="str">
        <f t="shared" si="5"/>
        <v>LON-A1</v>
      </c>
      <c r="S21" s="1">
        <v>46185</v>
      </c>
    </row>
    <row r="22" spans="1:19">
      <c r="A22" t="s">
        <v>108</v>
      </c>
      <c r="B22" t="s">
        <v>109</v>
      </c>
      <c r="C22" t="str">
        <f t="shared" si="0"/>
        <v>EC-ELE-0021</v>
      </c>
      <c r="D22" t="s">
        <v>110</v>
      </c>
      <c r="E22" t="str">
        <f t="shared" si="1"/>
        <v>PixelWorks Plus Laptop Stand</v>
      </c>
      <c r="F22" t="s">
        <v>17</v>
      </c>
      <c r="G22" t="str">
        <f t="shared" si="2"/>
        <v>Electronics</v>
      </c>
      <c r="H22" t="s">
        <v>738</v>
      </c>
      <c r="I22" t="str" cm="1">
        <f t="array" ref="I22">PROPER(IF(TRIM(H22)&lt;&gt;"",TRIM(H22),IFERROR(INDEX('Brand Reference'!$A$2:$A$13,MATCH(TRUE,ISNUMBER(SEARCH('Brand Reference'!$A$2:$A$13,E22)),0)),"Unknown")))</f>
        <v>Pixelworks</v>
      </c>
      <c r="J22" t="s">
        <v>79</v>
      </c>
      <c r="K22" t="str">
        <f t="shared" si="3"/>
        <v>Crownline Imports</v>
      </c>
      <c r="L22" s="4">
        <v>11</v>
      </c>
      <c r="M22">
        <v>18.64</v>
      </c>
      <c r="N22" s="4">
        <f t="shared" si="4"/>
        <v>18.64</v>
      </c>
      <c r="O22" s="6">
        <v>32</v>
      </c>
      <c r="P22" s="6">
        <v>20</v>
      </c>
      <c r="Q22" t="s">
        <v>26</v>
      </c>
      <c r="R22" t="str">
        <f t="shared" si="5"/>
        <v>MAN-A1</v>
      </c>
      <c r="S22" s="1">
        <v>45936</v>
      </c>
    </row>
    <row r="23" spans="1:19">
      <c r="A23" t="s">
        <v>111</v>
      </c>
      <c r="B23" t="s">
        <v>754</v>
      </c>
      <c r="C23" t="str">
        <f t="shared" si="0"/>
        <v>EC-ELE-0022</v>
      </c>
      <c r="D23" t="s">
        <v>113</v>
      </c>
      <c r="E23" t="str">
        <f t="shared" si="1"/>
        <v>Northstar Deluxe Mechanical Keyboard</v>
      </c>
      <c r="F23" t="s">
        <v>17</v>
      </c>
      <c r="G23" t="str">
        <f t="shared" si="2"/>
        <v>Electronics</v>
      </c>
      <c r="H23" t="s">
        <v>83</v>
      </c>
      <c r="I23" t="str" cm="1">
        <f t="array" ref="I23">PROPER(IF(TRIM(H23)&lt;&gt;"",TRIM(H23),IFERROR(INDEX('Brand Reference'!$A$2:$A$13,MATCH(TRUE,ISNUMBER(SEARCH('Brand Reference'!$A$2:$A$13,E23)),0)),"Unknown")))</f>
        <v>Northstar</v>
      </c>
      <c r="J23" t="s">
        <v>59</v>
      </c>
      <c r="K23" t="str">
        <f t="shared" si="3"/>
        <v>Bluegate Distribution</v>
      </c>
      <c r="L23" s="4">
        <v>3.48</v>
      </c>
      <c r="M23" t="s">
        <v>755</v>
      </c>
      <c r="N23" s="4">
        <f t="shared" si="4"/>
        <v>5.07</v>
      </c>
      <c r="O23" s="6">
        <v>11</v>
      </c>
      <c r="P23" s="6">
        <v>20</v>
      </c>
      <c r="Q23" t="s">
        <v>50</v>
      </c>
      <c r="R23" t="str">
        <f t="shared" si="5"/>
        <v>LDS-B1</v>
      </c>
      <c r="S23" s="1">
        <v>45543</v>
      </c>
    </row>
    <row r="24" spans="1:19">
      <c r="A24" t="s">
        <v>114</v>
      </c>
      <c r="B24" t="s">
        <v>756</v>
      </c>
      <c r="C24" t="str">
        <f t="shared" si="0"/>
        <v>EC-BOO-0023</v>
      </c>
      <c r="D24" t="s">
        <v>757</v>
      </c>
      <c r="E24" t="str">
        <f t="shared" si="1"/>
        <v>PixelWorks Mini Cookbook</v>
      </c>
      <c r="F24" t="s">
        <v>117</v>
      </c>
      <c r="G24" t="str">
        <f t="shared" si="2"/>
        <v>Books</v>
      </c>
      <c r="H24" t="s">
        <v>735</v>
      </c>
      <c r="I24" t="str" cm="1">
        <f t="array" ref="I24">PROPER(IF(TRIM(H24)&lt;&gt;"",TRIM(H24),IFERROR(INDEX('Brand Reference'!$A$2:$A$13,MATCH(TRUE,ISNUMBER(SEARCH('Brand Reference'!$A$2:$A$13,E24)),0)),"Unknown")))</f>
        <v>Pixelworks</v>
      </c>
      <c r="J24" t="s">
        <v>32</v>
      </c>
      <c r="K24" t="str">
        <f t="shared" si="3"/>
        <v>Juniper Merchants</v>
      </c>
      <c r="L24" s="4">
        <v>56.41</v>
      </c>
      <c r="M24">
        <v>114.32</v>
      </c>
      <c r="N24" s="4">
        <f t="shared" si="4"/>
        <v>114.32</v>
      </c>
      <c r="O24" s="6">
        <v>206</v>
      </c>
      <c r="P24" s="6">
        <v>25</v>
      </c>
      <c r="Q24" t="s">
        <v>758</v>
      </c>
      <c r="R24" t="str">
        <f t="shared" si="5"/>
        <v>BHM-C3</v>
      </c>
      <c r="S24" s="1">
        <v>45733</v>
      </c>
    </row>
    <row r="25" spans="1:19">
      <c r="A25" t="s">
        <v>118</v>
      </c>
      <c r="B25" t="s">
        <v>759</v>
      </c>
      <c r="C25" t="str">
        <f t="shared" si="0"/>
        <v>EC-ELE-0024</v>
      </c>
      <c r="D25" t="s">
        <v>120</v>
      </c>
      <c r="E25" t="str">
        <f t="shared" si="1"/>
        <v>Nova Supply Mini Webcam</v>
      </c>
      <c r="F25" t="s">
        <v>17</v>
      </c>
      <c r="G25" t="str">
        <f t="shared" si="2"/>
        <v>Electronics</v>
      </c>
      <c r="H25" t="s">
        <v>121</v>
      </c>
      <c r="I25" t="str" cm="1">
        <f t="array" ref="I25">PROPER(IF(TRIM(H25)&lt;&gt;"",TRIM(H25),IFERROR(INDEX('Brand Reference'!$A$2:$A$13,MATCH(TRUE,ISNUMBER(SEARCH('Brand Reference'!$A$2:$A$13,E25)),0)),"Unknown")))</f>
        <v>Nova Supply</v>
      </c>
      <c r="J25" t="s">
        <v>101</v>
      </c>
      <c r="K25" t="str">
        <f t="shared" si="3"/>
        <v>Aster Wholesale Ltd</v>
      </c>
      <c r="L25" s="4">
        <v>78.69</v>
      </c>
      <c r="M25">
        <v>139.91</v>
      </c>
      <c r="N25" s="4">
        <f t="shared" si="4"/>
        <v>139.91</v>
      </c>
      <c r="O25" s="6">
        <v>182</v>
      </c>
      <c r="P25" s="6">
        <v>5</v>
      </c>
      <c r="Q25" t="s">
        <v>26</v>
      </c>
      <c r="R25" t="str">
        <f t="shared" si="5"/>
        <v>MAN-A1</v>
      </c>
      <c r="S25" s="1">
        <v>46186</v>
      </c>
    </row>
    <row r="26" spans="1:19">
      <c r="A26" t="s">
        <v>122</v>
      </c>
      <c r="B26" t="s">
        <v>123</v>
      </c>
      <c r="C26" t="str">
        <f t="shared" si="0"/>
        <v>EC-KIT-0025</v>
      </c>
      <c r="D26" t="s">
        <v>124</v>
      </c>
      <c r="E26" t="str">
        <f t="shared" si="1"/>
        <v>Oak &amp; Ember Plus Coffee Grinder</v>
      </c>
      <c r="F26" t="s">
        <v>753</v>
      </c>
      <c r="G26" t="str">
        <f t="shared" si="2"/>
        <v>Kitchen</v>
      </c>
      <c r="H26" t="s">
        <v>64</v>
      </c>
      <c r="I26" t="str" cm="1">
        <f t="array" ref="I26">PROPER(IF(TRIM(H26)&lt;&gt;"",TRIM(H26),IFERROR(INDEX('Brand Reference'!$A$2:$A$13,MATCH(TRUE,ISNUMBER(SEARCH('Brand Reference'!$A$2:$A$13,E26)),0)),"Unknown")))</f>
        <v>Oak &amp; Ember</v>
      </c>
      <c r="J26" t="s">
        <v>49</v>
      </c>
      <c r="K26" t="str">
        <f t="shared" si="3"/>
        <v>Ivory Peak Logistics</v>
      </c>
      <c r="L26" s="4">
        <v>36.700000000000003</v>
      </c>
      <c r="M26">
        <v>73.19</v>
      </c>
      <c r="N26" s="4">
        <f t="shared" si="4"/>
        <v>73.19</v>
      </c>
      <c r="O26" s="6">
        <v>10</v>
      </c>
      <c r="P26" s="6">
        <v>25</v>
      </c>
      <c r="Q26" t="s">
        <v>20</v>
      </c>
      <c r="R26" t="str">
        <f t="shared" si="5"/>
        <v>LON-A1</v>
      </c>
      <c r="S26" s="1">
        <v>45696</v>
      </c>
    </row>
    <row r="27" spans="1:19">
      <c r="A27" t="s">
        <v>125</v>
      </c>
      <c r="B27" t="s">
        <v>126</v>
      </c>
      <c r="C27" t="str">
        <f t="shared" si="0"/>
        <v>EC-ELE-0026</v>
      </c>
      <c r="D27" t="s">
        <v>760</v>
      </c>
      <c r="E27" t="str">
        <f t="shared" si="1"/>
        <v>Urban Field Studio Webcam - White</v>
      </c>
      <c r="F27" t="s">
        <v>17</v>
      </c>
      <c r="G27" t="str">
        <f t="shared" si="2"/>
        <v>Electronics</v>
      </c>
      <c r="H27" t="s">
        <v>761</v>
      </c>
      <c r="I27" t="str" cm="1">
        <f t="array" ref="I27">PROPER(IF(TRIM(H27)&lt;&gt;"",TRIM(H27),IFERROR(INDEX('Brand Reference'!$A$2:$A$13,MATCH(TRUE,ISNUMBER(SEARCH('Brand Reference'!$A$2:$A$13,E27)),0)),"Unknown")))</f>
        <v>Urban Field</v>
      </c>
      <c r="J27" t="s">
        <v>32</v>
      </c>
      <c r="K27" t="str">
        <f t="shared" si="3"/>
        <v>Juniper Merchants</v>
      </c>
      <c r="L27" s="4">
        <v>12.61</v>
      </c>
      <c r="M27" t="s">
        <v>762</v>
      </c>
      <c r="N27" s="4">
        <f t="shared" si="4"/>
        <v>21.93</v>
      </c>
      <c r="O27" s="6">
        <v>154</v>
      </c>
      <c r="P27" s="6">
        <v>5</v>
      </c>
      <c r="Q27" t="s">
        <v>97</v>
      </c>
      <c r="R27" t="str">
        <f t="shared" si="5"/>
        <v>LON-B2</v>
      </c>
      <c r="S27" s="1">
        <v>46161</v>
      </c>
    </row>
    <row r="28" spans="1:19">
      <c r="A28" t="s">
        <v>128</v>
      </c>
      <c r="B28" t="s">
        <v>129</v>
      </c>
      <c r="C28" t="str">
        <f t="shared" si="0"/>
        <v>EC-ACC-0027</v>
      </c>
      <c r="D28" t="s">
        <v>130</v>
      </c>
      <c r="E28" t="str">
        <f t="shared" si="1"/>
        <v>Harbour &amp; Hill Deluxe Screen Protector</v>
      </c>
      <c r="F28" t="s">
        <v>42</v>
      </c>
      <c r="G28" t="str">
        <f t="shared" si="2"/>
        <v>Accessories</v>
      </c>
      <c r="H28" t="s">
        <v>55</v>
      </c>
      <c r="I28" t="str" cm="1">
        <f t="array" ref="I28">PROPER(IF(TRIM(H28)&lt;&gt;"",TRIM(H28),IFERROR(INDEX('Brand Reference'!$A$2:$A$13,MATCH(TRUE,ISNUMBER(SEARCH('Brand Reference'!$A$2:$A$13,E28)),0)),"Unknown")))</f>
        <v>Harbour &amp; Hill</v>
      </c>
      <c r="J28" t="s">
        <v>25</v>
      </c>
      <c r="K28" t="str">
        <f t="shared" si="3"/>
        <v>Everwell Supply</v>
      </c>
      <c r="L28" s="4">
        <v>57.06</v>
      </c>
      <c r="M28">
        <v>125.67</v>
      </c>
      <c r="N28" s="4">
        <f t="shared" si="4"/>
        <v>125.67</v>
      </c>
      <c r="O28" s="6">
        <v>93</v>
      </c>
      <c r="P28" s="6">
        <v>5</v>
      </c>
      <c r="Q28" t="s">
        <v>97</v>
      </c>
      <c r="R28" t="str">
        <f t="shared" si="5"/>
        <v>LON-B2</v>
      </c>
      <c r="S28" s="1">
        <v>46104</v>
      </c>
    </row>
    <row r="29" spans="1:19">
      <c r="A29" t="s">
        <v>131</v>
      </c>
      <c r="B29" t="s">
        <v>132</v>
      </c>
      <c r="C29" t="str">
        <f t="shared" si="0"/>
        <v>EC-ELE-0028</v>
      </c>
      <c r="D29" t="s">
        <v>133</v>
      </c>
      <c r="E29" t="str">
        <f t="shared" si="1"/>
        <v>Northstar Pro USB-C Hub</v>
      </c>
      <c r="F29" t="s">
        <v>763</v>
      </c>
      <c r="G29" t="str">
        <f t="shared" si="2"/>
        <v>Electronics</v>
      </c>
      <c r="H29" t="s">
        <v>83</v>
      </c>
      <c r="I29" t="str" cm="1">
        <f t="array" ref="I29">PROPER(IF(TRIM(H29)&lt;&gt;"",TRIM(H29),IFERROR(INDEX('Brand Reference'!$A$2:$A$13,MATCH(TRUE,ISNUMBER(SEARCH('Brand Reference'!$A$2:$A$13,E29)),0)),"Unknown")))</f>
        <v>Northstar</v>
      </c>
      <c r="J29" t="s">
        <v>49</v>
      </c>
      <c r="K29" t="str">
        <f t="shared" si="3"/>
        <v>Ivory Peak Logistics</v>
      </c>
      <c r="L29" s="4">
        <v>24.04</v>
      </c>
      <c r="M29">
        <v>40.78</v>
      </c>
      <c r="N29" s="4">
        <f t="shared" si="4"/>
        <v>40.78</v>
      </c>
      <c r="O29" s="6">
        <v>45</v>
      </c>
      <c r="P29" s="6">
        <v>12</v>
      </c>
      <c r="Q29" t="s">
        <v>26</v>
      </c>
      <c r="R29" t="str">
        <f t="shared" si="5"/>
        <v>MAN-A1</v>
      </c>
      <c r="S29" s="1">
        <v>45369</v>
      </c>
    </row>
    <row r="30" spans="1:19">
      <c r="A30" t="s">
        <v>134</v>
      </c>
      <c r="B30" t="s">
        <v>764</v>
      </c>
      <c r="C30" t="str">
        <f t="shared" si="0"/>
        <v>EC-PET-0029</v>
      </c>
      <c r="D30" t="s">
        <v>136</v>
      </c>
      <c r="E30" t="str">
        <f t="shared" si="1"/>
        <v>Kindred Mini Cat Toy</v>
      </c>
      <c r="F30" t="s">
        <v>751</v>
      </c>
      <c r="G30" t="str">
        <f t="shared" si="2"/>
        <v>Pet Supplies</v>
      </c>
      <c r="H30" t="s">
        <v>765</v>
      </c>
      <c r="I30" t="str" cm="1">
        <f t="array" ref="I30">PROPER(IF(TRIM(H30)&lt;&gt;"",TRIM(H30),IFERROR(INDEX('Brand Reference'!$A$2:$A$13,MATCH(TRUE,ISNUMBER(SEARCH('Brand Reference'!$A$2:$A$13,E30)),0)),"Unknown")))</f>
        <v>Kindred</v>
      </c>
      <c r="J30" t="s">
        <v>49</v>
      </c>
      <c r="K30" t="str">
        <f t="shared" si="3"/>
        <v>Ivory Peak Logistics</v>
      </c>
      <c r="L30" s="4">
        <v>3.14</v>
      </c>
      <c r="M30">
        <v>7.62</v>
      </c>
      <c r="N30" s="4">
        <f t="shared" si="4"/>
        <v>7.62</v>
      </c>
      <c r="O30" s="6">
        <v>240</v>
      </c>
      <c r="P30" s="6">
        <v>5</v>
      </c>
      <c r="Q30" t="s">
        <v>97</v>
      </c>
      <c r="R30" t="str">
        <f t="shared" si="5"/>
        <v>LON-B2</v>
      </c>
      <c r="S30" s="1">
        <v>45746</v>
      </c>
    </row>
    <row r="31" spans="1:19">
      <c r="A31" t="s">
        <v>137</v>
      </c>
      <c r="B31" t="s">
        <v>138</v>
      </c>
      <c r="C31" t="str">
        <f t="shared" si="0"/>
        <v>EC-ACC-0030</v>
      </c>
      <c r="D31" t="s">
        <v>139</v>
      </c>
      <c r="E31" t="str">
        <f t="shared" si="1"/>
        <v>Kindred Mini Phone Case</v>
      </c>
      <c r="F31" t="s">
        <v>42</v>
      </c>
      <c r="G31" t="str">
        <f t="shared" si="2"/>
        <v>Accessories</v>
      </c>
      <c r="H31" t="s">
        <v>748</v>
      </c>
      <c r="I31" t="str" cm="1">
        <f t="array" ref="I31">PROPER(IF(TRIM(H31)&lt;&gt;"",TRIM(H31),IFERROR(INDEX('Brand Reference'!$A$2:$A$13,MATCH(TRUE,ISNUMBER(SEARCH('Brand Reference'!$A$2:$A$13,E31)),0)),"Unknown")))</f>
        <v>Kindred</v>
      </c>
      <c r="J31" t="s">
        <v>74</v>
      </c>
      <c r="K31" t="str">
        <f t="shared" si="3"/>
        <v>Harbour Stockists</v>
      </c>
      <c r="L31" s="4">
        <v>25.03</v>
      </c>
      <c r="M31">
        <v>57.5</v>
      </c>
      <c r="N31" s="4">
        <f t="shared" si="4"/>
        <v>57.5</v>
      </c>
      <c r="O31" s="6">
        <v>191</v>
      </c>
      <c r="P31" s="6">
        <v>25</v>
      </c>
      <c r="Q31" t="s">
        <v>38</v>
      </c>
      <c r="R31" t="str">
        <f t="shared" si="5"/>
        <v>GLA-A2</v>
      </c>
      <c r="S31" s="1">
        <v>46232</v>
      </c>
    </row>
    <row r="32" spans="1:19">
      <c r="A32" t="s">
        <v>140</v>
      </c>
      <c r="B32" t="s">
        <v>141</v>
      </c>
      <c r="C32" t="str">
        <f t="shared" si="0"/>
        <v>EC-HOM-0031</v>
      </c>
      <c r="D32" t="s">
        <v>766</v>
      </c>
      <c r="E32" t="str">
        <f t="shared" si="1"/>
        <v>Oak &amp; Ember Everyday Desk Organiser</v>
      </c>
      <c r="F32" t="s">
        <v>30</v>
      </c>
      <c r="G32" t="str">
        <f t="shared" si="2"/>
        <v>Home &amp; Office</v>
      </c>
      <c r="H32" t="s">
        <v>64</v>
      </c>
      <c r="I32" t="str" cm="1">
        <f t="array" ref="I32">PROPER(IF(TRIM(H32)&lt;&gt;"",TRIM(H32),IFERROR(INDEX('Brand Reference'!$A$2:$A$13,MATCH(TRUE,ISNUMBER(SEARCH('Brand Reference'!$A$2:$A$13,E32)),0)),"Unknown")))</f>
        <v>Oak &amp; Ember</v>
      </c>
      <c r="J32" t="s">
        <v>79</v>
      </c>
      <c r="K32" t="str">
        <f t="shared" si="3"/>
        <v>Crownline Imports</v>
      </c>
      <c r="L32" s="4">
        <v>14.93</v>
      </c>
      <c r="M32">
        <v>34.83</v>
      </c>
      <c r="N32" s="4">
        <f t="shared" si="4"/>
        <v>34.83</v>
      </c>
      <c r="O32" s="6">
        <v>181</v>
      </c>
      <c r="P32" s="6">
        <v>30</v>
      </c>
      <c r="Q32" t="s">
        <v>20</v>
      </c>
      <c r="R32" t="str">
        <f t="shared" si="5"/>
        <v>LON-A1</v>
      </c>
      <c r="S32" s="1">
        <v>45368</v>
      </c>
    </row>
    <row r="33" spans="1:19">
      <c r="A33" t="s">
        <v>143</v>
      </c>
      <c r="B33" t="s">
        <v>144</v>
      </c>
      <c r="C33" t="str">
        <f t="shared" si="0"/>
        <v>EC-KIT-0032</v>
      </c>
      <c r="D33" t="s">
        <v>145</v>
      </c>
      <c r="E33" t="str">
        <f t="shared" si="1"/>
        <v>Cedar Lane Plus Food Storage Set - Sage</v>
      </c>
      <c r="F33" t="s">
        <v>36</v>
      </c>
      <c r="G33" t="str">
        <f t="shared" si="2"/>
        <v>Kitchen</v>
      </c>
      <c r="H33" t="s">
        <v>146</v>
      </c>
      <c r="I33" t="str" cm="1">
        <f t="array" ref="I33">PROPER(IF(TRIM(H33)&lt;&gt;"",TRIM(H33),IFERROR(INDEX('Brand Reference'!$A$2:$A$13,MATCH(TRUE,ISNUMBER(SEARCH('Brand Reference'!$A$2:$A$13,E33)),0)),"Unknown")))</f>
        <v>Cedar Lane</v>
      </c>
      <c r="J33" t="s">
        <v>32</v>
      </c>
      <c r="K33" t="str">
        <f t="shared" si="3"/>
        <v>Juniper Merchants</v>
      </c>
      <c r="L33" s="4">
        <v>63.43</v>
      </c>
      <c r="M33" t="s">
        <v>767</v>
      </c>
      <c r="N33" s="4">
        <f t="shared" si="4"/>
        <v>155.32</v>
      </c>
      <c r="O33" s="6">
        <v>9</v>
      </c>
      <c r="P33" s="6">
        <v>15</v>
      </c>
      <c r="Q33" t="s">
        <v>20</v>
      </c>
      <c r="R33" t="str">
        <f t="shared" si="5"/>
        <v>LON-A1</v>
      </c>
      <c r="S33" s="1">
        <v>45920</v>
      </c>
    </row>
    <row r="34" spans="1:19">
      <c r="A34" t="s">
        <v>147</v>
      </c>
      <c r="B34" t="s">
        <v>148</v>
      </c>
      <c r="C34" t="str">
        <f t="shared" si="0"/>
        <v>EC-HOM-0033</v>
      </c>
      <c r="D34" t="s">
        <v>149</v>
      </c>
      <c r="E34" t="str">
        <f t="shared" si="1"/>
        <v>Cedar Lane Travel LED Strip Lights</v>
      </c>
      <c r="F34" t="s">
        <v>30</v>
      </c>
      <c r="G34" t="str">
        <f t="shared" si="2"/>
        <v>Home &amp; Office</v>
      </c>
      <c r="H34" t="s">
        <v>146</v>
      </c>
      <c r="I34" t="str" cm="1">
        <f t="array" ref="I34">PROPER(IF(TRIM(H34)&lt;&gt;"",TRIM(H34),IFERROR(INDEX('Brand Reference'!$A$2:$A$13,MATCH(TRUE,ISNUMBER(SEARCH('Brand Reference'!$A$2:$A$13,E34)),0)),"Unknown")))</f>
        <v>Cedar Lane</v>
      </c>
      <c r="J34" t="s">
        <v>25</v>
      </c>
      <c r="K34" t="str">
        <f t="shared" si="3"/>
        <v>Everwell Supply</v>
      </c>
      <c r="L34" s="4">
        <v>10.89</v>
      </c>
      <c r="M34">
        <v>16.399999999999999</v>
      </c>
      <c r="N34" s="4">
        <f t="shared" si="4"/>
        <v>16.399999999999999</v>
      </c>
      <c r="O34" s="6">
        <v>199</v>
      </c>
      <c r="P34" s="6">
        <v>25</v>
      </c>
      <c r="Q34" t="s">
        <v>752</v>
      </c>
      <c r="R34" t="str">
        <f t="shared" si="5"/>
        <v>LON-A1</v>
      </c>
      <c r="S34" s="1">
        <v>45827</v>
      </c>
    </row>
    <row r="35" spans="1:19">
      <c r="A35" t="s">
        <v>150</v>
      </c>
      <c r="B35" t="s">
        <v>151</v>
      </c>
      <c r="C35" t="str">
        <f t="shared" si="0"/>
        <v>EC-HOM-0034</v>
      </c>
      <c r="D35" t="s">
        <v>152</v>
      </c>
      <c r="E35" t="str">
        <f t="shared" si="1"/>
        <v>Nova Supply Everyday Desk Organiser</v>
      </c>
      <c r="F35" t="s">
        <v>30</v>
      </c>
      <c r="G35" t="str">
        <f t="shared" si="2"/>
        <v>Home &amp; Office</v>
      </c>
      <c r="H35" t="s">
        <v>121</v>
      </c>
      <c r="I35" t="str" cm="1">
        <f t="array" ref="I35">PROPER(IF(TRIM(H35)&lt;&gt;"",TRIM(H35),IFERROR(INDEX('Brand Reference'!$A$2:$A$13,MATCH(TRUE,ISNUMBER(SEARCH('Brand Reference'!$A$2:$A$13,E35)),0)),"Unknown")))</f>
        <v>Nova Supply</v>
      </c>
      <c r="J35" t="s">
        <v>101</v>
      </c>
      <c r="K35" t="str">
        <f t="shared" si="3"/>
        <v>Aster Wholesale Ltd</v>
      </c>
      <c r="L35" s="4">
        <v>26.65</v>
      </c>
      <c r="M35">
        <v>44.35</v>
      </c>
      <c r="N35" s="4">
        <f t="shared" si="4"/>
        <v>44.35</v>
      </c>
      <c r="O35" s="6">
        <v>68</v>
      </c>
      <c r="P35" s="6">
        <v>30</v>
      </c>
      <c r="Q35" t="s">
        <v>38</v>
      </c>
      <c r="R35" t="str">
        <f t="shared" si="5"/>
        <v>GLA-A2</v>
      </c>
      <c r="S35" s="1">
        <v>45678</v>
      </c>
    </row>
    <row r="36" spans="1:19">
      <c r="A36" t="s">
        <v>153</v>
      </c>
      <c r="B36" t="s">
        <v>154</v>
      </c>
      <c r="C36" t="str">
        <f t="shared" si="0"/>
        <v>EC-BEA-0035</v>
      </c>
      <c r="D36" t="s">
        <v>155</v>
      </c>
      <c r="E36" t="str">
        <f t="shared" si="1"/>
        <v>Harbour &amp; Hill Mini Hand Cream - Natural</v>
      </c>
      <c r="F36" t="s">
        <v>54</v>
      </c>
      <c r="G36" t="str">
        <f t="shared" si="2"/>
        <v>Beauty</v>
      </c>
      <c r="H36" t="s">
        <v>55</v>
      </c>
      <c r="I36" t="str" cm="1">
        <f t="array" ref="I36">PROPER(IF(TRIM(H36)&lt;&gt;"",TRIM(H36),IFERROR(INDEX('Brand Reference'!$A$2:$A$13,MATCH(TRUE,ISNUMBER(SEARCH('Brand Reference'!$A$2:$A$13,E36)),0)),"Unknown")))</f>
        <v>Harbour &amp; Hill</v>
      </c>
      <c r="J36" t="s">
        <v>59</v>
      </c>
      <c r="K36" t="str">
        <f t="shared" si="3"/>
        <v>Bluegate Distribution</v>
      </c>
      <c r="L36" s="4">
        <v>44.94</v>
      </c>
      <c r="M36">
        <v>69.55</v>
      </c>
      <c r="N36" s="4">
        <f t="shared" si="4"/>
        <v>69.55</v>
      </c>
      <c r="O36" s="6">
        <v>74</v>
      </c>
      <c r="P36" s="6">
        <v>12</v>
      </c>
      <c r="Q36" t="s">
        <v>38</v>
      </c>
      <c r="R36" t="str">
        <f t="shared" si="5"/>
        <v>GLA-A2</v>
      </c>
      <c r="S36" s="1">
        <v>45350</v>
      </c>
    </row>
    <row r="37" spans="1:19">
      <c r="A37" t="s">
        <v>156</v>
      </c>
      <c r="B37" t="s">
        <v>768</v>
      </c>
      <c r="C37" t="str">
        <f t="shared" si="0"/>
        <v>EC-ELE-0036</v>
      </c>
      <c r="D37" t="s">
        <v>158</v>
      </c>
      <c r="E37" t="str">
        <f t="shared" si="1"/>
        <v>PixelWorks Compact Wireless Mouse</v>
      </c>
      <c r="F37" t="s">
        <v>763</v>
      </c>
      <c r="G37" t="str">
        <f t="shared" si="2"/>
        <v>Electronics</v>
      </c>
      <c r="H37" t="s">
        <v>738</v>
      </c>
      <c r="I37" t="str" cm="1">
        <f t="array" ref="I37">PROPER(IF(TRIM(H37)&lt;&gt;"",TRIM(H37),IFERROR(INDEX('Brand Reference'!$A$2:$A$13,MATCH(TRUE,ISNUMBER(SEARCH('Brand Reference'!$A$2:$A$13,E37)),0)),"Unknown")))</f>
        <v>Pixelworks</v>
      </c>
      <c r="J37" t="s">
        <v>159</v>
      </c>
      <c r="K37" t="str">
        <f t="shared" si="3"/>
        <v>Foxbridge Partners</v>
      </c>
      <c r="L37" s="4">
        <v>46.26</v>
      </c>
      <c r="M37">
        <v>92.96</v>
      </c>
      <c r="N37" s="4">
        <f t="shared" si="4"/>
        <v>92.96</v>
      </c>
      <c r="O37" s="6">
        <v>127</v>
      </c>
      <c r="P37" s="6">
        <v>12</v>
      </c>
      <c r="Q37" t="s">
        <v>44</v>
      </c>
      <c r="R37" t="str">
        <f t="shared" si="5"/>
        <v>BHM-C3</v>
      </c>
      <c r="S37" s="1">
        <v>45509</v>
      </c>
    </row>
    <row r="38" spans="1:19">
      <c r="A38" t="s">
        <v>160</v>
      </c>
      <c r="B38" t="s">
        <v>161</v>
      </c>
      <c r="C38" t="str">
        <f t="shared" si="0"/>
        <v>EC-ELE-0037</v>
      </c>
      <c r="D38" t="s">
        <v>162</v>
      </c>
      <c r="E38" t="str">
        <f t="shared" si="1"/>
        <v>Harbour &amp; Hill Pro Mechanical Keyboard</v>
      </c>
      <c r="F38" t="s">
        <v>17</v>
      </c>
      <c r="G38" t="str">
        <f t="shared" si="2"/>
        <v>Electronics</v>
      </c>
      <c r="H38" t="s">
        <v>55</v>
      </c>
      <c r="I38" t="str" cm="1">
        <f t="array" ref="I38">PROPER(IF(TRIM(H38)&lt;&gt;"",TRIM(H38),IFERROR(INDEX('Brand Reference'!$A$2:$A$13,MATCH(TRUE,ISNUMBER(SEARCH('Brand Reference'!$A$2:$A$13,E38)),0)),"Unknown")))</f>
        <v>Harbour &amp; Hill</v>
      </c>
      <c r="J38" t="s">
        <v>159</v>
      </c>
      <c r="K38" t="str">
        <f t="shared" si="3"/>
        <v>Foxbridge Partners</v>
      </c>
      <c r="L38" s="4">
        <v>11.93</v>
      </c>
      <c r="M38">
        <v>22.33</v>
      </c>
      <c r="N38" s="4">
        <f t="shared" si="4"/>
        <v>22.33</v>
      </c>
      <c r="O38" s="6">
        <v>255</v>
      </c>
      <c r="P38" s="6">
        <v>10</v>
      </c>
      <c r="Q38" t="s">
        <v>50</v>
      </c>
      <c r="R38" t="str">
        <f t="shared" si="5"/>
        <v>LDS-B1</v>
      </c>
      <c r="S38" s="1">
        <v>45797</v>
      </c>
    </row>
    <row r="39" spans="1:19">
      <c r="A39" t="s">
        <v>163</v>
      </c>
      <c r="B39" t="s">
        <v>164</v>
      </c>
      <c r="C39" t="str">
        <f t="shared" si="0"/>
        <v>EC-HOM-0038</v>
      </c>
      <c r="D39" t="s">
        <v>165</v>
      </c>
      <c r="E39" t="str">
        <f t="shared" si="1"/>
        <v>PixelWorks Compact Desk Organiser</v>
      </c>
      <c r="F39" t="s">
        <v>30</v>
      </c>
      <c r="G39" t="str">
        <f t="shared" si="2"/>
        <v>Home &amp; Office</v>
      </c>
      <c r="H39" t="s">
        <v>735</v>
      </c>
      <c r="I39" t="str" cm="1">
        <f t="array" ref="I39">PROPER(IF(TRIM(H39)&lt;&gt;"",TRIM(H39),IFERROR(INDEX('Brand Reference'!$A$2:$A$13,MATCH(TRUE,ISNUMBER(SEARCH('Brand Reference'!$A$2:$A$13,E39)),0)),"Unknown")))</f>
        <v>Pixelworks</v>
      </c>
      <c r="J39" t="s">
        <v>79</v>
      </c>
      <c r="K39" t="str">
        <f t="shared" si="3"/>
        <v>Crownline Imports</v>
      </c>
      <c r="L39" s="4">
        <v>9.48</v>
      </c>
      <c r="M39">
        <v>17.96</v>
      </c>
      <c r="N39" s="4">
        <f t="shared" si="4"/>
        <v>17.96</v>
      </c>
      <c r="O39" s="6">
        <v>159</v>
      </c>
      <c r="P39" s="6">
        <v>20</v>
      </c>
      <c r="Q39" t="s">
        <v>26</v>
      </c>
      <c r="R39" t="str">
        <f t="shared" si="5"/>
        <v>MAN-A1</v>
      </c>
      <c r="S39" s="1">
        <v>45754</v>
      </c>
    </row>
    <row r="40" spans="1:19">
      <c r="A40" t="s">
        <v>166</v>
      </c>
      <c r="B40" t="s">
        <v>167</v>
      </c>
      <c r="C40" t="str">
        <f t="shared" si="0"/>
        <v>EC-PET-0039</v>
      </c>
      <c r="D40" t="s">
        <v>168</v>
      </c>
      <c r="E40" t="str">
        <f t="shared" si="1"/>
        <v>Cedar Lane Mini Dog Lead</v>
      </c>
      <c r="F40" t="s">
        <v>63</v>
      </c>
      <c r="G40" t="str">
        <f t="shared" si="2"/>
        <v>Pet Supplies</v>
      </c>
      <c r="H40" t="s">
        <v>146</v>
      </c>
      <c r="I40" t="str" cm="1">
        <f t="array" ref="I40">PROPER(IF(TRIM(H40)&lt;&gt;"",TRIM(H40),IFERROR(INDEX('Brand Reference'!$A$2:$A$13,MATCH(TRUE,ISNUMBER(SEARCH('Brand Reference'!$A$2:$A$13,E40)),0)),"Unknown")))</f>
        <v>Cedar Lane</v>
      </c>
      <c r="J40" t="s">
        <v>19</v>
      </c>
      <c r="K40" t="str">
        <f t="shared" si="3"/>
        <v>Dovetail Trading Co.</v>
      </c>
      <c r="L40" s="4">
        <v>62.13</v>
      </c>
      <c r="M40">
        <v>142.46</v>
      </c>
      <c r="N40" s="4">
        <f t="shared" si="4"/>
        <v>142.46</v>
      </c>
      <c r="O40" s="6">
        <v>206</v>
      </c>
      <c r="P40" s="6">
        <v>25</v>
      </c>
      <c r="Q40" t="s">
        <v>44</v>
      </c>
      <c r="R40" t="str">
        <f t="shared" si="5"/>
        <v>BHM-C3</v>
      </c>
      <c r="S40" s="1">
        <v>45653</v>
      </c>
    </row>
    <row r="41" spans="1:19">
      <c r="A41" t="s">
        <v>169</v>
      </c>
      <c r="B41" t="s">
        <v>170</v>
      </c>
      <c r="C41" t="str">
        <f t="shared" si="0"/>
        <v>EC-KIT-0040</v>
      </c>
      <c r="D41" t="s">
        <v>171</v>
      </c>
      <c r="E41" t="str">
        <f t="shared" si="1"/>
        <v>PixelWorks Deluxe Ceramic Mug</v>
      </c>
      <c r="F41" t="s">
        <v>36</v>
      </c>
      <c r="G41" t="str">
        <f t="shared" si="2"/>
        <v>Kitchen</v>
      </c>
      <c r="H41" t="s">
        <v>735</v>
      </c>
      <c r="I41" t="str" cm="1">
        <f t="array" ref="I41">PROPER(IF(TRIM(H41)&lt;&gt;"",TRIM(H41),IFERROR(INDEX('Brand Reference'!$A$2:$A$13,MATCH(TRUE,ISNUMBER(SEARCH('Brand Reference'!$A$2:$A$13,E41)),0)),"Unknown")))</f>
        <v>Pixelworks</v>
      </c>
      <c r="J41" t="s">
        <v>159</v>
      </c>
      <c r="K41" t="str">
        <f t="shared" si="3"/>
        <v>Foxbridge Partners</v>
      </c>
      <c r="L41" s="4">
        <v>14.98</v>
      </c>
      <c r="M41">
        <v>32.47</v>
      </c>
      <c r="N41" s="4">
        <f t="shared" si="4"/>
        <v>32.47</v>
      </c>
      <c r="O41" s="6">
        <v>65</v>
      </c>
      <c r="P41" s="6">
        <v>30</v>
      </c>
      <c r="Q41" t="s">
        <v>20</v>
      </c>
      <c r="R41" t="str">
        <f t="shared" si="5"/>
        <v>LON-A1</v>
      </c>
      <c r="S41" s="1">
        <v>45840</v>
      </c>
    </row>
    <row r="42" spans="1:19">
      <c r="A42" t="s">
        <v>172</v>
      </c>
      <c r="B42" t="s">
        <v>173</v>
      </c>
      <c r="C42" t="str">
        <f t="shared" si="0"/>
        <v>EC-ACC-0041</v>
      </c>
      <c r="D42" t="s">
        <v>174</v>
      </c>
      <c r="E42" t="str">
        <f t="shared" si="1"/>
        <v>Morrow Pro Canvas Tote Bag</v>
      </c>
      <c r="F42" t="s">
        <v>42</v>
      </c>
      <c r="G42" t="str">
        <f t="shared" si="2"/>
        <v>Accessories</v>
      </c>
      <c r="H42" t="s">
        <v>48</v>
      </c>
      <c r="I42" t="str" cm="1">
        <f t="array" ref="I42">PROPER(IF(TRIM(H42)&lt;&gt;"",TRIM(H42),IFERROR(INDEX('Brand Reference'!$A$2:$A$13,MATCH(TRUE,ISNUMBER(SEARCH('Brand Reference'!$A$2:$A$13,E42)),0)),"Unknown")))</f>
        <v>Morrow</v>
      </c>
      <c r="J42" t="s">
        <v>769</v>
      </c>
      <c r="K42" t="str">
        <f t="shared" si="3"/>
        <v>Everwell Supply</v>
      </c>
      <c r="L42" s="4">
        <v>24.41</v>
      </c>
      <c r="M42" t="s">
        <v>770</v>
      </c>
      <c r="N42" s="4">
        <f t="shared" si="4"/>
        <v>41.86</v>
      </c>
      <c r="O42" s="6">
        <v>73</v>
      </c>
      <c r="P42" s="6">
        <v>10</v>
      </c>
      <c r="Q42" t="s">
        <v>38</v>
      </c>
      <c r="R42" t="str">
        <f t="shared" si="5"/>
        <v>GLA-A2</v>
      </c>
      <c r="S42" s="1">
        <v>45840</v>
      </c>
    </row>
    <row r="43" spans="1:19">
      <c r="A43" t="s">
        <v>175</v>
      </c>
      <c r="B43" t="s">
        <v>176</v>
      </c>
      <c r="C43" t="str">
        <f t="shared" si="0"/>
        <v>EC-ACC-0042</v>
      </c>
      <c r="D43" t="s">
        <v>177</v>
      </c>
      <c r="E43" t="str">
        <f t="shared" si="1"/>
        <v>Harbour &amp; Hill Classic Phone Case</v>
      </c>
      <c r="F43" t="s">
        <v>42</v>
      </c>
      <c r="G43" t="str">
        <f t="shared" si="2"/>
        <v>Accessories</v>
      </c>
      <c r="H43" t="s">
        <v>55</v>
      </c>
      <c r="I43" t="str" cm="1">
        <f t="array" ref="I43">PROPER(IF(TRIM(H43)&lt;&gt;"",TRIM(H43),IFERROR(INDEX('Brand Reference'!$A$2:$A$13,MATCH(TRUE,ISNUMBER(SEARCH('Brand Reference'!$A$2:$A$13,E43)),0)),"Unknown")))</f>
        <v>Harbour &amp; Hill</v>
      </c>
      <c r="J43" t="s">
        <v>159</v>
      </c>
      <c r="K43" t="str">
        <f t="shared" si="3"/>
        <v>Foxbridge Partners</v>
      </c>
      <c r="L43" s="4">
        <v>58.02</v>
      </c>
      <c r="M43">
        <v>99.82</v>
      </c>
      <c r="N43" s="4">
        <f t="shared" si="4"/>
        <v>99.82</v>
      </c>
      <c r="O43" s="6">
        <v>253</v>
      </c>
      <c r="P43" s="6">
        <v>15</v>
      </c>
      <c r="Q43" t="s">
        <v>771</v>
      </c>
      <c r="R43" t="str">
        <f t="shared" si="5"/>
        <v>LDS-B1</v>
      </c>
      <c r="S43" s="1">
        <v>46161</v>
      </c>
    </row>
    <row r="44" spans="1:19">
      <c r="A44" t="s">
        <v>178</v>
      </c>
      <c r="B44" t="s">
        <v>772</v>
      </c>
      <c r="C44" t="str">
        <f t="shared" si="0"/>
        <v>EC-ELE-0043</v>
      </c>
      <c r="D44" t="s">
        <v>180</v>
      </c>
      <c r="E44" t="str">
        <f t="shared" si="1"/>
        <v>Harbour &amp; Hill Plus Laptop Stand - Navy</v>
      </c>
      <c r="F44" t="s">
        <v>17</v>
      </c>
      <c r="G44" t="str">
        <f t="shared" si="2"/>
        <v>Electronics</v>
      </c>
      <c r="H44" t="s">
        <v>55</v>
      </c>
      <c r="I44" t="str" cm="1">
        <f t="array" ref="I44">PROPER(IF(TRIM(H44)&lt;&gt;"",TRIM(H44),IFERROR(INDEX('Brand Reference'!$A$2:$A$13,MATCH(TRUE,ISNUMBER(SEARCH('Brand Reference'!$A$2:$A$13,E44)),0)),"Unknown")))</f>
        <v>Harbour &amp; Hill</v>
      </c>
      <c r="J44" t="s">
        <v>74</v>
      </c>
      <c r="K44" t="str">
        <f t="shared" si="3"/>
        <v>Harbour Stockists</v>
      </c>
      <c r="L44" s="4">
        <v>48.48</v>
      </c>
      <c r="M44">
        <v>78.900000000000006</v>
      </c>
      <c r="N44" s="4">
        <f t="shared" si="4"/>
        <v>78.900000000000006</v>
      </c>
      <c r="O44" s="6">
        <v>171</v>
      </c>
      <c r="P44" s="6">
        <v>30</v>
      </c>
      <c r="Q44" t="s">
        <v>26</v>
      </c>
      <c r="R44" t="str">
        <f t="shared" si="5"/>
        <v>MAN-A1</v>
      </c>
      <c r="S44" s="1">
        <v>46266</v>
      </c>
    </row>
    <row r="45" spans="1:19">
      <c r="A45" t="s">
        <v>181</v>
      </c>
      <c r="B45" t="s">
        <v>182</v>
      </c>
      <c r="C45" t="str">
        <f t="shared" si="0"/>
        <v>EC-ELE-0044</v>
      </c>
      <c r="D45" t="s">
        <v>183</v>
      </c>
      <c r="E45" t="str">
        <f t="shared" si="1"/>
        <v>Brightline Eco Bluetooth Speaker</v>
      </c>
      <c r="F45" t="s">
        <v>763</v>
      </c>
      <c r="G45" t="str">
        <f t="shared" si="2"/>
        <v>Electronics</v>
      </c>
      <c r="H45" t="s">
        <v>184</v>
      </c>
      <c r="I45" t="str" cm="1">
        <f t="array" ref="I45">PROPER(IF(TRIM(H45)&lt;&gt;"",TRIM(H45),IFERROR(INDEX('Brand Reference'!$A$2:$A$13,MATCH(TRUE,ISNUMBER(SEARCH('Brand Reference'!$A$2:$A$13,E45)),0)),"Unknown")))</f>
        <v>Brightline</v>
      </c>
      <c r="K45" t="str">
        <f t="shared" si="3"/>
        <v>Unknown</v>
      </c>
      <c r="L45" s="4">
        <v>80.2</v>
      </c>
      <c r="M45">
        <v>137.08000000000001</v>
      </c>
      <c r="N45" s="4">
        <f t="shared" si="4"/>
        <v>137.08000000000001</v>
      </c>
      <c r="O45" s="6">
        <v>107</v>
      </c>
      <c r="P45" s="6">
        <v>40</v>
      </c>
      <c r="Q45" t="s">
        <v>50</v>
      </c>
      <c r="R45" t="str">
        <f t="shared" si="5"/>
        <v>LDS-B1</v>
      </c>
      <c r="S45" s="1">
        <v>45859</v>
      </c>
    </row>
    <row r="46" spans="1:19">
      <c r="A46" t="s">
        <v>185</v>
      </c>
      <c r="B46" t="s">
        <v>773</v>
      </c>
      <c r="C46" t="str">
        <f t="shared" si="0"/>
        <v>EC-ELE-0045</v>
      </c>
      <c r="D46" t="s">
        <v>187</v>
      </c>
      <c r="E46" t="str">
        <f t="shared" si="1"/>
        <v>Cedar Lane Plus Phone Charger</v>
      </c>
      <c r="F46" t="s">
        <v>17</v>
      </c>
      <c r="G46" t="str">
        <f t="shared" si="2"/>
        <v>Electronics</v>
      </c>
      <c r="H46" t="s">
        <v>146</v>
      </c>
      <c r="I46" t="str" cm="1">
        <f t="array" ref="I46">PROPER(IF(TRIM(H46)&lt;&gt;"",TRIM(H46),IFERROR(INDEX('Brand Reference'!$A$2:$A$13,MATCH(TRUE,ISNUMBER(SEARCH('Brand Reference'!$A$2:$A$13,E46)),0)),"Unknown")))</f>
        <v>Cedar Lane</v>
      </c>
      <c r="J46" t="s">
        <v>774</v>
      </c>
      <c r="K46" t="str">
        <f t="shared" si="3"/>
        <v>Dovetail Trading Co.</v>
      </c>
      <c r="L46" s="4">
        <v>3.14</v>
      </c>
      <c r="M46">
        <v>4.57</v>
      </c>
      <c r="N46" s="4">
        <f t="shared" si="4"/>
        <v>4.57</v>
      </c>
      <c r="O46" s="6">
        <v>168</v>
      </c>
      <c r="P46" s="6">
        <v>15</v>
      </c>
      <c r="Q46" t="s">
        <v>38</v>
      </c>
      <c r="R46" t="str">
        <f t="shared" si="5"/>
        <v>GLA-A2</v>
      </c>
      <c r="S46" s="1">
        <v>46241</v>
      </c>
    </row>
    <row r="47" spans="1:19">
      <c r="A47" t="s">
        <v>188</v>
      </c>
      <c r="B47" t="s">
        <v>189</v>
      </c>
      <c r="C47" t="str">
        <f t="shared" si="0"/>
        <v>EC-STA-0046</v>
      </c>
      <c r="D47" t="s">
        <v>190</v>
      </c>
      <c r="E47" t="str">
        <f t="shared" si="1"/>
        <v>Kindred Pro Notebook Set</v>
      </c>
      <c r="F47" t="s">
        <v>191</v>
      </c>
      <c r="G47" t="str">
        <f t="shared" si="2"/>
        <v>Stationery</v>
      </c>
      <c r="H47" t="s">
        <v>748</v>
      </c>
      <c r="I47" t="str" cm="1">
        <f t="array" ref="I47">PROPER(IF(TRIM(H47)&lt;&gt;"",TRIM(H47),IFERROR(INDEX('Brand Reference'!$A$2:$A$13,MATCH(TRUE,ISNUMBER(SEARCH('Brand Reference'!$A$2:$A$13,E47)),0)),"Unknown")))</f>
        <v>Kindred</v>
      </c>
      <c r="K47" t="str">
        <f t="shared" si="3"/>
        <v>Unknown</v>
      </c>
      <c r="L47" s="4">
        <v>61.14</v>
      </c>
      <c r="M47">
        <v>128.35</v>
      </c>
      <c r="N47" s="4">
        <f t="shared" si="4"/>
        <v>128.35</v>
      </c>
      <c r="O47" s="6">
        <v>68</v>
      </c>
      <c r="P47" s="6">
        <v>10</v>
      </c>
      <c r="Q47" t="s">
        <v>758</v>
      </c>
      <c r="R47" t="str">
        <f t="shared" si="5"/>
        <v>BHM-C3</v>
      </c>
      <c r="S47" s="1">
        <v>45349</v>
      </c>
    </row>
    <row r="48" spans="1:19">
      <c r="A48" t="s">
        <v>192</v>
      </c>
      <c r="B48" t="s">
        <v>193</v>
      </c>
      <c r="C48" t="str">
        <f t="shared" si="0"/>
        <v>EC-STA-0047</v>
      </c>
      <c r="D48" t="s">
        <v>194</v>
      </c>
      <c r="E48" t="str">
        <f t="shared" si="1"/>
        <v>Cedar Lane Plus Ballpoint Pens</v>
      </c>
      <c r="F48" t="s">
        <v>191</v>
      </c>
      <c r="G48" t="str">
        <f t="shared" si="2"/>
        <v>Stationery</v>
      </c>
      <c r="H48" t="s">
        <v>146</v>
      </c>
      <c r="I48" t="str" cm="1">
        <f t="array" ref="I48">PROPER(IF(TRIM(H48)&lt;&gt;"",TRIM(H48),IFERROR(INDEX('Brand Reference'!$A$2:$A$13,MATCH(TRUE,ISNUMBER(SEARCH('Brand Reference'!$A$2:$A$13,E48)),0)),"Unknown")))</f>
        <v>Cedar Lane</v>
      </c>
      <c r="J48" t="s">
        <v>159</v>
      </c>
      <c r="K48" t="str">
        <f t="shared" si="3"/>
        <v>Foxbridge Partners</v>
      </c>
      <c r="L48" s="4">
        <v>84.04</v>
      </c>
      <c r="M48" t="s">
        <v>775</v>
      </c>
      <c r="N48" s="4">
        <f t="shared" si="4"/>
        <v>197.62</v>
      </c>
      <c r="O48" s="6">
        <v>174</v>
      </c>
      <c r="P48" s="6">
        <v>25</v>
      </c>
      <c r="Q48" t="s">
        <v>38</v>
      </c>
      <c r="R48" t="str">
        <f t="shared" si="5"/>
        <v>GLA-A2</v>
      </c>
      <c r="S48" s="1">
        <v>46003</v>
      </c>
    </row>
    <row r="49" spans="1:19">
      <c r="A49" t="s">
        <v>195</v>
      </c>
      <c r="B49" t="s">
        <v>196</v>
      </c>
      <c r="C49" t="str">
        <f t="shared" si="0"/>
        <v>EC-APP-0048</v>
      </c>
      <c r="D49" t="s">
        <v>197</v>
      </c>
      <c r="E49" t="str">
        <f t="shared" si="1"/>
        <v>Morrow Mini Running Socks - Sage</v>
      </c>
      <c r="F49" t="s">
        <v>198</v>
      </c>
      <c r="G49" t="str">
        <f t="shared" si="2"/>
        <v>Apparel</v>
      </c>
      <c r="H49" t="s">
        <v>48</v>
      </c>
      <c r="I49" t="str" cm="1">
        <f t="array" ref="I49">PROPER(IF(TRIM(H49)&lt;&gt;"",TRIM(H49),IFERROR(INDEX('Brand Reference'!$A$2:$A$13,MATCH(TRUE,ISNUMBER(SEARCH('Brand Reference'!$A$2:$A$13,E49)),0)),"Unknown")))</f>
        <v>Morrow</v>
      </c>
      <c r="J49" t="s">
        <v>19</v>
      </c>
      <c r="K49" t="str">
        <f t="shared" si="3"/>
        <v>Dovetail Trading Co.</v>
      </c>
      <c r="L49" s="4">
        <v>42.77</v>
      </c>
      <c r="M49">
        <v>58.76</v>
      </c>
      <c r="N49" s="4">
        <f t="shared" si="4"/>
        <v>58.76</v>
      </c>
      <c r="O49" s="6">
        <v>187</v>
      </c>
      <c r="P49" s="6">
        <v>20</v>
      </c>
      <c r="Q49" t="s">
        <v>26</v>
      </c>
      <c r="R49" t="str">
        <f t="shared" si="5"/>
        <v>MAN-A1</v>
      </c>
      <c r="S49" s="1">
        <v>46246</v>
      </c>
    </row>
    <row r="50" spans="1:19">
      <c r="A50" t="s">
        <v>199</v>
      </c>
      <c r="B50" t="s">
        <v>200</v>
      </c>
      <c r="C50" t="str">
        <f t="shared" si="0"/>
        <v>EC-PET-0049</v>
      </c>
      <c r="D50" t="s">
        <v>201</v>
      </c>
      <c r="E50" t="str">
        <f t="shared" si="1"/>
        <v>Kindred Deluxe Dog Lead - Sage</v>
      </c>
      <c r="F50" t="s">
        <v>63</v>
      </c>
      <c r="G50" t="str">
        <f t="shared" si="2"/>
        <v>Pet Supplies</v>
      </c>
      <c r="H50" t="s">
        <v>31</v>
      </c>
      <c r="I50" t="str" cm="1">
        <f t="array" ref="I50">PROPER(IF(TRIM(H50)&lt;&gt;"",TRIM(H50),IFERROR(INDEX('Brand Reference'!$A$2:$A$13,MATCH(TRUE,ISNUMBER(SEARCH('Brand Reference'!$A$2:$A$13,E50)),0)),"Unknown")))</f>
        <v>Kindred</v>
      </c>
      <c r="J50" t="s">
        <v>32</v>
      </c>
      <c r="K50" t="str">
        <f t="shared" si="3"/>
        <v>Juniper Merchants</v>
      </c>
      <c r="L50" s="4">
        <v>6.69</v>
      </c>
      <c r="M50">
        <v>12.06</v>
      </c>
      <c r="N50" s="4">
        <f t="shared" si="4"/>
        <v>12.06</v>
      </c>
      <c r="O50" s="6">
        <v>33</v>
      </c>
      <c r="P50" s="6">
        <v>20</v>
      </c>
      <c r="Q50" t="s">
        <v>20</v>
      </c>
      <c r="R50" t="str">
        <f t="shared" si="5"/>
        <v>LON-A1</v>
      </c>
      <c r="S50" s="1">
        <v>46280</v>
      </c>
    </row>
    <row r="51" spans="1:19">
      <c r="A51" t="s">
        <v>202</v>
      </c>
      <c r="B51" t="s">
        <v>203</v>
      </c>
      <c r="C51" t="str">
        <f t="shared" si="0"/>
        <v>EC-PET-0050</v>
      </c>
      <c r="D51" t="s">
        <v>204</v>
      </c>
      <c r="E51" t="str">
        <f t="shared" si="1"/>
        <v>Kite &amp; Key Mini Cat Toy</v>
      </c>
      <c r="F51" t="s">
        <v>63</v>
      </c>
      <c r="G51" t="str">
        <f t="shared" si="2"/>
        <v>Pet Supplies</v>
      </c>
      <c r="H51" t="s">
        <v>43</v>
      </c>
      <c r="I51" t="str" cm="1">
        <f t="array" ref="I51">PROPER(IF(TRIM(H51)&lt;&gt;"",TRIM(H51),IFERROR(INDEX('Brand Reference'!$A$2:$A$13,MATCH(TRUE,ISNUMBER(SEARCH('Brand Reference'!$A$2:$A$13,E51)),0)),"Unknown")))</f>
        <v>Kite &amp; Key</v>
      </c>
      <c r="J51" t="s">
        <v>59</v>
      </c>
      <c r="K51" t="str">
        <f t="shared" si="3"/>
        <v>Bluegate Distribution</v>
      </c>
      <c r="L51" s="4">
        <v>30.32</v>
      </c>
      <c r="M51">
        <v>46.97</v>
      </c>
      <c r="N51" s="4">
        <f t="shared" si="4"/>
        <v>46.97</v>
      </c>
      <c r="O51" s="6">
        <v>89</v>
      </c>
      <c r="P51" s="6">
        <v>20</v>
      </c>
      <c r="Q51" t="s">
        <v>38</v>
      </c>
      <c r="R51" t="str">
        <f t="shared" si="5"/>
        <v>GLA-A2</v>
      </c>
      <c r="S51" s="1">
        <v>46076</v>
      </c>
    </row>
    <row r="52" spans="1:19">
      <c r="A52" t="s">
        <v>205</v>
      </c>
      <c r="B52" t="s">
        <v>206</v>
      </c>
      <c r="C52" t="str">
        <f t="shared" si="0"/>
        <v>EC-ELE-0051</v>
      </c>
      <c r="D52" t="s">
        <v>207</v>
      </c>
      <c r="E52" t="str">
        <f t="shared" si="1"/>
        <v>Morrow Everyday USB-C Hub</v>
      </c>
      <c r="F52" t="s">
        <v>17</v>
      </c>
      <c r="G52" t="str">
        <f t="shared" si="2"/>
        <v>Electronics</v>
      </c>
      <c r="I52" t="str" cm="1">
        <f t="array" ref="I52">PROPER(IF(TRIM(H52)&lt;&gt;"",TRIM(H52),IFERROR(INDEX('Brand Reference'!$A$2:$A$13,MATCH(TRUE,ISNUMBER(SEARCH('Brand Reference'!$A$2:$A$13,E52)),0)),"Unknown")))</f>
        <v>Morrow</v>
      </c>
      <c r="J52" t="s">
        <v>79</v>
      </c>
      <c r="K52" t="str">
        <f t="shared" si="3"/>
        <v>Crownline Imports</v>
      </c>
      <c r="L52" s="4">
        <v>73.03</v>
      </c>
      <c r="M52">
        <v>108.75</v>
      </c>
      <c r="N52" s="4">
        <f t="shared" si="4"/>
        <v>108.75</v>
      </c>
      <c r="O52" s="6">
        <v>108</v>
      </c>
      <c r="P52" s="6">
        <v>20</v>
      </c>
      <c r="Q52" t="s">
        <v>38</v>
      </c>
      <c r="R52" t="str">
        <f t="shared" si="5"/>
        <v>GLA-A2</v>
      </c>
      <c r="S52" s="1">
        <v>46292</v>
      </c>
    </row>
    <row r="53" spans="1:19">
      <c r="A53" t="s">
        <v>208</v>
      </c>
      <c r="B53" t="s">
        <v>209</v>
      </c>
      <c r="C53" t="str">
        <f t="shared" si="0"/>
        <v>EC-FIT-0052</v>
      </c>
      <c r="D53" t="s">
        <v>210</v>
      </c>
      <c r="E53" t="str">
        <f t="shared" si="1"/>
        <v>PixelWorks Eco Resistance Bands</v>
      </c>
      <c r="F53" t="s">
        <v>87</v>
      </c>
      <c r="G53" t="str">
        <f t="shared" si="2"/>
        <v>Fitness</v>
      </c>
      <c r="H53" t="s">
        <v>735</v>
      </c>
      <c r="I53" t="str" cm="1">
        <f t="array" ref="I53">PROPER(IF(TRIM(H53)&lt;&gt;"",TRIM(H53),IFERROR(INDEX('Brand Reference'!$A$2:$A$13,MATCH(TRUE,ISNUMBER(SEARCH('Brand Reference'!$A$2:$A$13,E53)),0)),"Unknown")))</f>
        <v>Pixelworks</v>
      </c>
      <c r="J53" t="s">
        <v>32</v>
      </c>
      <c r="K53" t="str">
        <f t="shared" si="3"/>
        <v>Juniper Merchants</v>
      </c>
      <c r="L53" s="4">
        <v>62.33</v>
      </c>
      <c r="M53">
        <v>97.11</v>
      </c>
      <c r="N53" s="4">
        <f t="shared" si="4"/>
        <v>97.11</v>
      </c>
      <c r="O53" s="6">
        <v>78</v>
      </c>
      <c r="P53" s="6">
        <v>12</v>
      </c>
      <c r="Q53" t="s">
        <v>20</v>
      </c>
      <c r="R53" t="str">
        <f t="shared" si="5"/>
        <v>LON-A1</v>
      </c>
      <c r="S53" s="1">
        <v>45560</v>
      </c>
    </row>
    <row r="54" spans="1:19">
      <c r="A54" t="s">
        <v>211</v>
      </c>
      <c r="B54" t="s">
        <v>776</v>
      </c>
      <c r="C54" t="str">
        <f t="shared" si="0"/>
        <v>EC-ELE-0053</v>
      </c>
      <c r="D54" t="s">
        <v>213</v>
      </c>
      <c r="E54" t="str">
        <f t="shared" si="1"/>
        <v>Oak &amp; Ember Pro Bluetooth Speaker - Navy</v>
      </c>
      <c r="F54" t="s">
        <v>17</v>
      </c>
      <c r="G54" t="str">
        <f t="shared" si="2"/>
        <v>Electronics</v>
      </c>
      <c r="H54" t="s">
        <v>64</v>
      </c>
      <c r="I54" t="str" cm="1">
        <f t="array" ref="I54">PROPER(IF(TRIM(H54)&lt;&gt;"",TRIM(H54),IFERROR(INDEX('Brand Reference'!$A$2:$A$13,MATCH(TRUE,ISNUMBER(SEARCH('Brand Reference'!$A$2:$A$13,E54)),0)),"Unknown")))</f>
        <v>Oak &amp; Ember</v>
      </c>
      <c r="J54" t="s">
        <v>79</v>
      </c>
      <c r="K54" t="str">
        <f t="shared" si="3"/>
        <v>Crownline Imports</v>
      </c>
      <c r="L54" s="4">
        <v>81.94</v>
      </c>
      <c r="M54">
        <v>173.08</v>
      </c>
      <c r="N54" s="4">
        <f t="shared" si="4"/>
        <v>173.08</v>
      </c>
      <c r="O54" s="6">
        <v>65</v>
      </c>
      <c r="P54" s="6">
        <v>40</v>
      </c>
      <c r="Q54" t="s">
        <v>771</v>
      </c>
      <c r="R54" t="str">
        <f t="shared" si="5"/>
        <v>LDS-B1</v>
      </c>
      <c r="S54" s="1">
        <v>45636</v>
      </c>
    </row>
    <row r="55" spans="1:19">
      <c r="A55" t="s">
        <v>214</v>
      </c>
      <c r="B55" t="s">
        <v>215</v>
      </c>
      <c r="C55" t="str">
        <f t="shared" si="0"/>
        <v>EC-STA-0054</v>
      </c>
      <c r="D55" t="s">
        <v>216</v>
      </c>
      <c r="E55" t="str">
        <f t="shared" si="1"/>
        <v>Nova Supply Premium Ballpoint Pens</v>
      </c>
      <c r="F55" t="s">
        <v>191</v>
      </c>
      <c r="G55" t="str">
        <f t="shared" si="2"/>
        <v>Stationery</v>
      </c>
      <c r="H55" t="s">
        <v>121</v>
      </c>
      <c r="I55" t="str" cm="1">
        <f t="array" ref="I55">PROPER(IF(TRIM(H55)&lt;&gt;"",TRIM(H55),IFERROR(INDEX('Brand Reference'!$A$2:$A$13,MATCH(TRUE,ISNUMBER(SEARCH('Brand Reference'!$A$2:$A$13,E55)),0)),"Unknown")))</f>
        <v>Nova Supply</v>
      </c>
      <c r="J55" t="s">
        <v>49</v>
      </c>
      <c r="K55" t="str">
        <f t="shared" si="3"/>
        <v>Ivory Peak Logistics</v>
      </c>
      <c r="L55" s="4">
        <v>42.75</v>
      </c>
      <c r="M55">
        <v>83.39</v>
      </c>
      <c r="N55" s="4">
        <f t="shared" si="4"/>
        <v>83.39</v>
      </c>
      <c r="O55" s="6">
        <v>14</v>
      </c>
      <c r="P55" s="6">
        <v>20</v>
      </c>
      <c r="Q55" t="s">
        <v>26</v>
      </c>
      <c r="R55" t="str">
        <f t="shared" si="5"/>
        <v>MAN-A1</v>
      </c>
      <c r="S55" s="1">
        <v>45744</v>
      </c>
    </row>
    <row r="56" spans="1:19">
      <c r="A56" t="s">
        <v>217</v>
      </c>
      <c r="B56" t="s">
        <v>218</v>
      </c>
      <c r="C56" t="str">
        <f t="shared" si="0"/>
        <v>EC-ELE-0055</v>
      </c>
      <c r="D56" t="s">
        <v>219</v>
      </c>
      <c r="E56" t="str">
        <f t="shared" si="1"/>
        <v>Morrow Eco Phone Charger - Charcoal</v>
      </c>
      <c r="F56" t="s">
        <v>763</v>
      </c>
      <c r="G56" t="str">
        <f t="shared" si="2"/>
        <v>Electronics</v>
      </c>
      <c r="H56" t="s">
        <v>48</v>
      </c>
      <c r="I56" t="str" cm="1">
        <f t="array" ref="I56">PROPER(IF(TRIM(H56)&lt;&gt;"",TRIM(H56),IFERROR(INDEX('Brand Reference'!$A$2:$A$13,MATCH(TRUE,ISNUMBER(SEARCH('Brand Reference'!$A$2:$A$13,E56)),0)),"Unknown")))</f>
        <v>Morrow</v>
      </c>
      <c r="J56" t="s">
        <v>101</v>
      </c>
      <c r="K56" t="str">
        <f t="shared" si="3"/>
        <v>Aster Wholesale Ltd</v>
      </c>
      <c r="L56" s="4">
        <v>29.07</v>
      </c>
      <c r="M56">
        <v>62.1</v>
      </c>
      <c r="N56" s="4">
        <f t="shared" si="4"/>
        <v>62.1</v>
      </c>
      <c r="O56" s="6">
        <v>20</v>
      </c>
      <c r="P56" s="6">
        <v>40</v>
      </c>
      <c r="Q56" t="s">
        <v>20</v>
      </c>
      <c r="R56" t="str">
        <f t="shared" si="5"/>
        <v>LON-A1</v>
      </c>
    </row>
    <row r="57" spans="1:19">
      <c r="A57" t="s">
        <v>220</v>
      </c>
      <c r="B57" t="s">
        <v>221</v>
      </c>
      <c r="C57" t="str">
        <f t="shared" si="0"/>
        <v>EC-HOM-0056</v>
      </c>
      <c r="D57" t="s">
        <v>222</v>
      </c>
      <c r="E57" t="str">
        <f t="shared" si="1"/>
        <v>Kindred Plus Desk Organiser</v>
      </c>
      <c r="F57" t="s">
        <v>30</v>
      </c>
      <c r="G57" t="str">
        <f t="shared" si="2"/>
        <v>Home &amp; Office</v>
      </c>
      <c r="H57" t="s">
        <v>31</v>
      </c>
      <c r="I57" t="str" cm="1">
        <f t="array" ref="I57">PROPER(IF(TRIM(H57)&lt;&gt;"",TRIM(H57),IFERROR(INDEX('Brand Reference'!$A$2:$A$13,MATCH(TRUE,ISNUMBER(SEARCH('Brand Reference'!$A$2:$A$13,E57)),0)),"Unknown")))</f>
        <v>Kindred</v>
      </c>
      <c r="J57" t="s">
        <v>19</v>
      </c>
      <c r="K57" t="str">
        <f t="shared" si="3"/>
        <v>Dovetail Trading Co.</v>
      </c>
      <c r="L57" s="4">
        <v>4.53</v>
      </c>
      <c r="M57" t="s">
        <v>777</v>
      </c>
      <c r="N57" s="4">
        <f t="shared" si="4"/>
        <v>8.6199999999999992</v>
      </c>
      <c r="O57" s="6">
        <v>46</v>
      </c>
      <c r="P57" s="6">
        <v>30</v>
      </c>
      <c r="Q57" t="s">
        <v>97</v>
      </c>
      <c r="R57" t="str">
        <f t="shared" si="5"/>
        <v>LON-B2</v>
      </c>
      <c r="S57" s="1">
        <v>46179</v>
      </c>
    </row>
    <row r="58" spans="1:19">
      <c r="A58" t="s">
        <v>223</v>
      </c>
      <c r="B58" t="s">
        <v>224</v>
      </c>
      <c r="C58" t="str">
        <f t="shared" si="0"/>
        <v>EC-APP-0057</v>
      </c>
      <c r="D58" t="s">
        <v>225</v>
      </c>
      <c r="E58" t="str">
        <f t="shared" si="1"/>
        <v>Nova Supply Essential Cotton T-Shirt</v>
      </c>
      <c r="F58" t="s">
        <v>198</v>
      </c>
      <c r="G58" t="str">
        <f t="shared" si="2"/>
        <v>Apparel</v>
      </c>
      <c r="H58" t="s">
        <v>121</v>
      </c>
      <c r="I58" t="str" cm="1">
        <f t="array" ref="I58">PROPER(IF(TRIM(H58)&lt;&gt;"",TRIM(H58),IFERROR(INDEX('Brand Reference'!$A$2:$A$13,MATCH(TRUE,ISNUMBER(SEARCH('Brand Reference'!$A$2:$A$13,E58)),0)),"Unknown")))</f>
        <v>Nova Supply</v>
      </c>
      <c r="J58" t="s">
        <v>19</v>
      </c>
      <c r="K58" t="str">
        <f t="shared" si="3"/>
        <v>Dovetail Trading Co.</v>
      </c>
      <c r="L58" s="4">
        <v>46.57</v>
      </c>
      <c r="M58">
        <v>107.46</v>
      </c>
      <c r="N58" s="4">
        <f t="shared" si="4"/>
        <v>107.46</v>
      </c>
      <c r="O58" s="6">
        <v>216</v>
      </c>
      <c r="P58" s="6">
        <v>40</v>
      </c>
      <c r="Q58" t="s">
        <v>26</v>
      </c>
      <c r="R58" t="str">
        <f t="shared" si="5"/>
        <v>MAN-A1</v>
      </c>
      <c r="S58" s="1">
        <v>46035</v>
      </c>
    </row>
    <row r="59" spans="1:19">
      <c r="A59" t="s">
        <v>226</v>
      </c>
      <c r="B59" t="s">
        <v>227</v>
      </c>
      <c r="C59" t="str">
        <f t="shared" si="0"/>
        <v>EC-ACC-0058</v>
      </c>
      <c r="D59" t="s">
        <v>228</v>
      </c>
      <c r="E59" t="str">
        <f t="shared" si="1"/>
        <v>Cedar Lane Studio Sunglasses - Blue</v>
      </c>
      <c r="F59" t="s">
        <v>42</v>
      </c>
      <c r="G59" t="str">
        <f t="shared" si="2"/>
        <v>Accessories</v>
      </c>
      <c r="H59" t="s">
        <v>146</v>
      </c>
      <c r="I59" t="str" cm="1">
        <f t="array" ref="I59">PROPER(IF(TRIM(H59)&lt;&gt;"",TRIM(H59),IFERROR(INDEX('Brand Reference'!$A$2:$A$13,MATCH(TRUE,ISNUMBER(SEARCH('Brand Reference'!$A$2:$A$13,E59)),0)),"Unknown")))</f>
        <v>Cedar Lane</v>
      </c>
      <c r="J59" t="s">
        <v>32</v>
      </c>
      <c r="K59" t="str">
        <f t="shared" si="3"/>
        <v>Juniper Merchants</v>
      </c>
      <c r="L59" s="4">
        <v>76.47</v>
      </c>
      <c r="M59">
        <v>165.4</v>
      </c>
      <c r="N59" s="4">
        <f t="shared" si="4"/>
        <v>165.4</v>
      </c>
      <c r="O59" s="6">
        <v>59</v>
      </c>
      <c r="P59" s="6">
        <v>10</v>
      </c>
      <c r="Q59" t="s">
        <v>50</v>
      </c>
      <c r="R59" t="str">
        <f t="shared" si="5"/>
        <v>LDS-B1</v>
      </c>
      <c r="S59" s="1">
        <v>46016</v>
      </c>
    </row>
    <row r="60" spans="1:19">
      <c r="A60" t="s">
        <v>229</v>
      </c>
      <c r="B60" t="s">
        <v>230</v>
      </c>
      <c r="C60" t="str">
        <f t="shared" si="0"/>
        <v>EC-ELE-0059</v>
      </c>
      <c r="D60" t="s">
        <v>231</v>
      </c>
      <c r="E60" t="str">
        <f t="shared" si="1"/>
        <v>Urban Field Everyday Webcam - Charcoal</v>
      </c>
      <c r="F60" t="s">
        <v>17</v>
      </c>
      <c r="G60" t="str">
        <f t="shared" si="2"/>
        <v>Electronics</v>
      </c>
      <c r="H60" t="s">
        <v>69</v>
      </c>
      <c r="I60" t="str" cm="1">
        <f t="array" ref="I60">PROPER(IF(TRIM(H60)&lt;&gt;"",TRIM(H60),IFERROR(INDEX('Brand Reference'!$A$2:$A$13,MATCH(TRUE,ISNUMBER(SEARCH('Brand Reference'!$A$2:$A$13,E60)),0)),"Unknown")))</f>
        <v>Urban Field</v>
      </c>
      <c r="J60" t="s">
        <v>769</v>
      </c>
      <c r="K60" t="str">
        <f t="shared" si="3"/>
        <v>Everwell Supply</v>
      </c>
      <c r="L60" s="4">
        <v>80.69</v>
      </c>
      <c r="M60">
        <v>196.18</v>
      </c>
      <c r="N60" s="4">
        <f t="shared" si="4"/>
        <v>196.18</v>
      </c>
      <c r="O60" s="6">
        <v>15</v>
      </c>
      <c r="P60" s="6">
        <v>12</v>
      </c>
      <c r="Q60" t="s">
        <v>771</v>
      </c>
      <c r="R60" t="str">
        <f t="shared" si="5"/>
        <v>LDS-B1</v>
      </c>
      <c r="S60" s="1">
        <v>45842</v>
      </c>
    </row>
    <row r="61" spans="1:19">
      <c r="A61" t="s">
        <v>232</v>
      </c>
      <c r="B61" t="s">
        <v>233</v>
      </c>
      <c r="C61" t="str">
        <f t="shared" si="0"/>
        <v>EC-ACC-0060</v>
      </c>
      <c r="D61" t="s">
        <v>234</v>
      </c>
      <c r="E61" t="str">
        <f t="shared" si="1"/>
        <v>Northstar Essential Phone Case</v>
      </c>
      <c r="F61" t="s">
        <v>42</v>
      </c>
      <c r="G61" t="str">
        <f t="shared" si="2"/>
        <v>Accessories</v>
      </c>
      <c r="H61" t="s">
        <v>83</v>
      </c>
      <c r="I61" t="str" cm="1">
        <f t="array" ref="I61">PROPER(IF(TRIM(H61)&lt;&gt;"",TRIM(H61),IFERROR(INDEX('Brand Reference'!$A$2:$A$13,MATCH(TRUE,ISNUMBER(SEARCH('Brand Reference'!$A$2:$A$13,E61)),0)),"Unknown")))</f>
        <v>Northstar</v>
      </c>
      <c r="J61" t="s">
        <v>49</v>
      </c>
      <c r="K61" t="str">
        <f t="shared" si="3"/>
        <v>Ivory Peak Logistics</v>
      </c>
      <c r="L61" s="4">
        <v>24.81</v>
      </c>
      <c r="M61">
        <v>43.16</v>
      </c>
      <c r="N61" s="4">
        <f t="shared" si="4"/>
        <v>43.16</v>
      </c>
      <c r="O61" s="6">
        <v>70</v>
      </c>
      <c r="P61" s="6">
        <v>10</v>
      </c>
      <c r="Q61" t="s">
        <v>97</v>
      </c>
      <c r="R61" t="str">
        <f t="shared" si="5"/>
        <v>LON-B2</v>
      </c>
      <c r="S61" s="1">
        <v>45586</v>
      </c>
    </row>
    <row r="62" spans="1:19">
      <c r="A62" t="s">
        <v>235</v>
      </c>
      <c r="B62" t="s">
        <v>236</v>
      </c>
      <c r="C62" t="str">
        <f t="shared" si="0"/>
        <v>EC-BEA-0061</v>
      </c>
      <c r="D62" t="s">
        <v>778</v>
      </c>
      <c r="E62" t="str">
        <f t="shared" si="1"/>
        <v>Harbour &amp; Hill Studio Facial Cleanser - Graphite</v>
      </c>
      <c r="F62" t="s">
        <v>54</v>
      </c>
      <c r="G62" t="str">
        <f t="shared" si="2"/>
        <v>Beauty</v>
      </c>
      <c r="H62" t="s">
        <v>55</v>
      </c>
      <c r="I62" t="str" cm="1">
        <f t="array" ref="I62">PROPER(IF(TRIM(H62)&lt;&gt;"",TRIM(H62),IFERROR(INDEX('Brand Reference'!$A$2:$A$13,MATCH(TRUE,ISNUMBER(SEARCH('Brand Reference'!$A$2:$A$13,E62)),0)),"Unknown")))</f>
        <v>Harbour &amp; Hill</v>
      </c>
      <c r="J62" t="s">
        <v>74</v>
      </c>
      <c r="K62" t="str">
        <f t="shared" si="3"/>
        <v>Harbour Stockists</v>
      </c>
      <c r="L62" s="4">
        <v>60.01</v>
      </c>
      <c r="M62">
        <v>117.99</v>
      </c>
      <c r="N62" s="4">
        <f t="shared" si="4"/>
        <v>117.99</v>
      </c>
      <c r="O62" s="6">
        <v>130</v>
      </c>
      <c r="P62" s="6">
        <v>10</v>
      </c>
      <c r="Q62" t="s">
        <v>26</v>
      </c>
      <c r="R62" t="str">
        <f t="shared" si="5"/>
        <v>MAN-A1</v>
      </c>
      <c r="S62" s="1">
        <v>46236</v>
      </c>
    </row>
    <row r="63" spans="1:19">
      <c r="A63" t="s">
        <v>238</v>
      </c>
      <c r="B63" t="s">
        <v>239</v>
      </c>
      <c r="C63" t="str">
        <f t="shared" si="0"/>
        <v>EC-PET-0062</v>
      </c>
      <c r="D63" t="s">
        <v>240</v>
      </c>
      <c r="E63" t="str">
        <f t="shared" si="1"/>
        <v>Cedar Lane Compact Cat Toy</v>
      </c>
      <c r="F63" t="s">
        <v>63</v>
      </c>
      <c r="G63" t="str">
        <f t="shared" si="2"/>
        <v>Pet Supplies</v>
      </c>
      <c r="H63" t="s">
        <v>146</v>
      </c>
      <c r="I63" t="str" cm="1">
        <f t="array" ref="I63">PROPER(IF(TRIM(H63)&lt;&gt;"",TRIM(H63),IFERROR(INDEX('Brand Reference'!$A$2:$A$13,MATCH(TRUE,ISNUMBER(SEARCH('Brand Reference'!$A$2:$A$13,E63)),0)),"Unknown")))</f>
        <v>Cedar Lane</v>
      </c>
      <c r="J63" t="s">
        <v>32</v>
      </c>
      <c r="K63" t="str">
        <f t="shared" si="3"/>
        <v>Juniper Merchants</v>
      </c>
      <c r="L63" s="4">
        <v>8.8699999999999992</v>
      </c>
      <c r="M63">
        <v>12.38</v>
      </c>
      <c r="N63" s="4">
        <f t="shared" si="4"/>
        <v>12.38</v>
      </c>
      <c r="O63" s="6">
        <v>231</v>
      </c>
      <c r="P63" s="6">
        <v>10</v>
      </c>
      <c r="Q63" t="s">
        <v>44</v>
      </c>
      <c r="R63" t="str">
        <f t="shared" si="5"/>
        <v>BHM-C3</v>
      </c>
      <c r="S63" s="1">
        <v>46083</v>
      </c>
    </row>
    <row r="64" spans="1:19">
      <c r="A64" t="s">
        <v>241</v>
      </c>
      <c r="B64" t="s">
        <v>779</v>
      </c>
      <c r="C64" t="str">
        <f t="shared" si="0"/>
        <v>EC-BEA-0063</v>
      </c>
      <c r="D64" t="s">
        <v>243</v>
      </c>
      <c r="E64" t="str">
        <f t="shared" si="1"/>
        <v>Cedar Lane Classic Hand Cream</v>
      </c>
      <c r="F64" t="s">
        <v>54</v>
      </c>
      <c r="G64" t="str">
        <f t="shared" si="2"/>
        <v>Beauty</v>
      </c>
      <c r="H64" t="s">
        <v>146</v>
      </c>
      <c r="I64" t="str" cm="1">
        <f t="array" ref="I64">PROPER(IF(TRIM(H64)&lt;&gt;"",TRIM(H64),IFERROR(INDEX('Brand Reference'!$A$2:$A$13,MATCH(TRUE,ISNUMBER(SEARCH('Brand Reference'!$A$2:$A$13,E64)),0)),"Unknown")))</f>
        <v>Cedar Lane</v>
      </c>
      <c r="J64" t="s">
        <v>101</v>
      </c>
      <c r="K64" t="str">
        <f t="shared" si="3"/>
        <v>Aster Wholesale Ltd</v>
      </c>
      <c r="L64" s="4">
        <v>13.32</v>
      </c>
      <c r="M64">
        <v>19.52</v>
      </c>
      <c r="N64" s="4">
        <f t="shared" si="4"/>
        <v>19.52</v>
      </c>
      <c r="O64" s="6">
        <v>47</v>
      </c>
      <c r="P64" s="6">
        <v>12</v>
      </c>
      <c r="Q64" t="s">
        <v>20</v>
      </c>
      <c r="R64" t="str">
        <f t="shared" si="5"/>
        <v>LON-A1</v>
      </c>
      <c r="S64" s="1">
        <v>45814</v>
      </c>
    </row>
    <row r="65" spans="1:19">
      <c r="A65" t="s">
        <v>244</v>
      </c>
      <c r="B65" t="s">
        <v>245</v>
      </c>
      <c r="C65" t="str">
        <f t="shared" si="0"/>
        <v>EC-ELE-0064</v>
      </c>
      <c r="D65" t="s">
        <v>246</v>
      </c>
      <c r="E65" t="str">
        <f t="shared" si="1"/>
        <v>Kite &amp; Key Travel Mechanical Keyboard</v>
      </c>
      <c r="F65" t="s">
        <v>17</v>
      </c>
      <c r="G65" t="str">
        <f t="shared" si="2"/>
        <v>Electronics</v>
      </c>
      <c r="H65" t="s">
        <v>43</v>
      </c>
      <c r="I65" t="str" cm="1">
        <f t="array" ref="I65">PROPER(IF(TRIM(H65)&lt;&gt;"",TRIM(H65),IFERROR(INDEX('Brand Reference'!$A$2:$A$13,MATCH(TRUE,ISNUMBER(SEARCH('Brand Reference'!$A$2:$A$13,E65)),0)),"Unknown")))</f>
        <v>Kite &amp; Key</v>
      </c>
      <c r="J65" t="s">
        <v>19</v>
      </c>
      <c r="K65" t="str">
        <f t="shared" si="3"/>
        <v>Dovetail Trading Co.</v>
      </c>
      <c r="L65" s="4">
        <v>73.12</v>
      </c>
      <c r="M65">
        <v>125.65</v>
      </c>
      <c r="N65" s="4">
        <f t="shared" si="4"/>
        <v>125.65</v>
      </c>
      <c r="O65" s="6">
        <v>78</v>
      </c>
      <c r="P65" s="6">
        <v>20</v>
      </c>
      <c r="Q65" t="s">
        <v>780</v>
      </c>
      <c r="R65" t="str">
        <f t="shared" si="5"/>
        <v>MAN-A1</v>
      </c>
      <c r="S65" s="1">
        <v>46256</v>
      </c>
    </row>
    <row r="66" spans="1:19">
      <c r="A66" t="s">
        <v>247</v>
      </c>
      <c r="B66" t="s">
        <v>248</v>
      </c>
      <c r="C66" t="str">
        <f t="shared" ref="C66:C129" si="6">UPPER(TRIM(B66))</f>
        <v>EC-BEA-0065</v>
      </c>
      <c r="D66" t="s">
        <v>249</v>
      </c>
      <c r="E66" t="str">
        <f t="shared" ref="E66:E129" si="7">TRIM(D66)</f>
        <v>Kindred Everyday Facial Cleanser - Charcoal</v>
      </c>
      <c r="F66" t="s">
        <v>54</v>
      </c>
      <c r="G66" t="str">
        <f t="shared" ref="G66:G129" si="8">PROPER(TRIM(F66))</f>
        <v>Beauty</v>
      </c>
      <c r="H66" t="s">
        <v>31</v>
      </c>
      <c r="I66" t="str" cm="1">
        <f t="array" ref="I66">PROPER(IF(TRIM(H66)&lt;&gt;"",TRIM(H66),IFERROR(INDEX('Brand Reference'!$A$2:$A$13,MATCH(TRUE,ISNUMBER(SEARCH('Brand Reference'!$A$2:$A$13,E66)),0)),"Unknown")))</f>
        <v>Kindred</v>
      </c>
      <c r="J66" t="s">
        <v>32</v>
      </c>
      <c r="K66" t="str">
        <f t="shared" ref="K66:K129" si="9">IF(J66="","Unknown",TRIM(PROPER(J66)))</f>
        <v>Juniper Merchants</v>
      </c>
      <c r="L66" s="4">
        <v>73.510000000000005</v>
      </c>
      <c r="M66">
        <v>124.52</v>
      </c>
      <c r="N66" s="4">
        <f t="shared" ref="N66:N129" si="10">VALUE(SUBSTITUTE(M66," GBP",""))</f>
        <v>124.52</v>
      </c>
      <c r="O66" s="6">
        <v>21</v>
      </c>
      <c r="P66" s="6">
        <v>40</v>
      </c>
      <c r="Q66" t="s">
        <v>97</v>
      </c>
      <c r="R66" t="str">
        <f t="shared" ref="R66:R129" si="11">UPPER(TRIM(Q66))</f>
        <v>LON-B2</v>
      </c>
      <c r="S66" s="1">
        <v>45802</v>
      </c>
    </row>
    <row r="67" spans="1:19">
      <c r="A67" t="s">
        <v>250</v>
      </c>
      <c r="B67" t="s">
        <v>251</v>
      </c>
      <c r="C67" t="str">
        <f t="shared" si="6"/>
        <v>EC-HOM-0066</v>
      </c>
      <c r="D67" t="s">
        <v>252</v>
      </c>
      <c r="E67" t="str">
        <f t="shared" si="7"/>
        <v>Everyday Co. Studio Ergonomic Chair</v>
      </c>
      <c r="F67" t="s">
        <v>30</v>
      </c>
      <c r="G67" t="str">
        <f t="shared" si="8"/>
        <v>Home &amp; Office</v>
      </c>
      <c r="H67" t="s">
        <v>24</v>
      </c>
      <c r="I67" t="str" cm="1">
        <f t="array" ref="I67">PROPER(IF(TRIM(H67)&lt;&gt;"",TRIM(H67),IFERROR(INDEX('Brand Reference'!$A$2:$A$13,MATCH(TRUE,ISNUMBER(SEARCH('Brand Reference'!$A$2:$A$13,E67)),0)),"Unknown")))</f>
        <v>Everyday Co.</v>
      </c>
      <c r="J67" t="s">
        <v>49</v>
      </c>
      <c r="K67" t="str">
        <f t="shared" si="9"/>
        <v>Ivory Peak Logistics</v>
      </c>
      <c r="L67" s="4">
        <v>42.18</v>
      </c>
      <c r="M67">
        <v>57.7</v>
      </c>
      <c r="N67" s="4">
        <f t="shared" si="10"/>
        <v>57.7</v>
      </c>
      <c r="O67" s="6">
        <v>111</v>
      </c>
      <c r="P67" s="6">
        <v>30</v>
      </c>
      <c r="Q67" t="s">
        <v>44</v>
      </c>
      <c r="R67" t="str">
        <f t="shared" si="11"/>
        <v>BHM-C3</v>
      </c>
      <c r="S67" s="1">
        <v>45361</v>
      </c>
    </row>
    <row r="68" spans="1:19">
      <c r="A68" t="s">
        <v>253</v>
      </c>
      <c r="B68" t="s">
        <v>254</v>
      </c>
      <c r="C68" t="str">
        <f t="shared" si="6"/>
        <v>EC-HOM-0067</v>
      </c>
      <c r="D68" t="s">
        <v>255</v>
      </c>
      <c r="E68" t="str">
        <f t="shared" si="7"/>
        <v>Brightline Travel Travel Mug</v>
      </c>
      <c r="F68" t="s">
        <v>30</v>
      </c>
      <c r="G68" t="str">
        <f t="shared" si="8"/>
        <v>Home &amp; Office</v>
      </c>
      <c r="H68" t="s">
        <v>184</v>
      </c>
      <c r="I68" t="str" cm="1">
        <f t="array" ref="I68">PROPER(IF(TRIM(H68)&lt;&gt;"",TRIM(H68),IFERROR(INDEX('Brand Reference'!$A$2:$A$13,MATCH(TRUE,ISNUMBER(SEARCH('Brand Reference'!$A$2:$A$13,E68)),0)),"Unknown")))</f>
        <v>Brightline</v>
      </c>
      <c r="J68" t="s">
        <v>49</v>
      </c>
      <c r="K68" t="str">
        <f t="shared" si="9"/>
        <v>Ivory Peak Logistics</v>
      </c>
      <c r="L68" s="4">
        <v>37.950000000000003</v>
      </c>
      <c r="M68">
        <v>81.93</v>
      </c>
      <c r="N68" s="4">
        <f t="shared" si="10"/>
        <v>81.93</v>
      </c>
      <c r="O68" s="6">
        <v>13</v>
      </c>
      <c r="P68" s="6">
        <v>25</v>
      </c>
      <c r="Q68" t="s">
        <v>752</v>
      </c>
      <c r="R68" t="str">
        <f t="shared" si="11"/>
        <v>LON-A1</v>
      </c>
      <c r="S68" s="1">
        <v>45632</v>
      </c>
    </row>
    <row r="69" spans="1:19">
      <c r="A69" t="s">
        <v>256</v>
      </c>
      <c r="B69" t="s">
        <v>781</v>
      </c>
      <c r="C69" t="str">
        <f t="shared" si="6"/>
        <v>EC-KIT-0068</v>
      </c>
      <c r="D69" t="s">
        <v>258</v>
      </c>
      <c r="E69" t="str">
        <f t="shared" si="7"/>
        <v>Brightline Studio Food Storage Set</v>
      </c>
      <c r="F69" t="s">
        <v>36</v>
      </c>
      <c r="G69" t="str">
        <f t="shared" si="8"/>
        <v>Kitchen</v>
      </c>
      <c r="H69" t="s">
        <v>184</v>
      </c>
      <c r="I69" t="str" cm="1">
        <f t="array" ref="I69">PROPER(IF(TRIM(H69)&lt;&gt;"",TRIM(H69),IFERROR(INDEX('Brand Reference'!$A$2:$A$13,MATCH(TRUE,ISNUMBER(SEARCH('Brand Reference'!$A$2:$A$13,E69)),0)),"Unknown")))</f>
        <v>Brightline</v>
      </c>
      <c r="J69" t="s">
        <v>101</v>
      </c>
      <c r="K69" t="str">
        <f t="shared" si="9"/>
        <v>Aster Wholesale Ltd</v>
      </c>
      <c r="L69" s="4">
        <v>40.06</v>
      </c>
      <c r="M69">
        <v>89.68</v>
      </c>
      <c r="N69" s="4">
        <f t="shared" si="10"/>
        <v>89.68</v>
      </c>
      <c r="O69" s="6">
        <v>54</v>
      </c>
      <c r="P69" s="6">
        <v>30</v>
      </c>
      <c r="Q69" t="s">
        <v>97</v>
      </c>
      <c r="R69" t="str">
        <f t="shared" si="11"/>
        <v>LON-B2</v>
      </c>
      <c r="S69" s="1">
        <v>46113</v>
      </c>
    </row>
    <row r="70" spans="1:19">
      <c r="A70" t="s">
        <v>259</v>
      </c>
      <c r="B70" t="s">
        <v>782</v>
      </c>
      <c r="C70" t="str">
        <f t="shared" si="6"/>
        <v>EC-ELE-0069</v>
      </c>
      <c r="D70" t="s">
        <v>261</v>
      </c>
      <c r="E70" t="str">
        <f t="shared" si="7"/>
        <v>Oak &amp; Ember Premium Laptop Stand</v>
      </c>
      <c r="F70" t="s">
        <v>763</v>
      </c>
      <c r="G70" t="str">
        <f t="shared" si="8"/>
        <v>Electronics</v>
      </c>
      <c r="H70" t="s">
        <v>64</v>
      </c>
      <c r="I70" t="str" cm="1">
        <f t="array" ref="I70">PROPER(IF(TRIM(H70)&lt;&gt;"",TRIM(H70),IFERROR(INDEX('Brand Reference'!$A$2:$A$13,MATCH(TRUE,ISNUMBER(SEARCH('Brand Reference'!$A$2:$A$13,E70)),0)),"Unknown")))</f>
        <v>Oak &amp; Ember</v>
      </c>
      <c r="J70" t="s">
        <v>783</v>
      </c>
      <c r="K70" t="str">
        <f t="shared" si="9"/>
        <v>Harbour Stockists</v>
      </c>
      <c r="L70" s="4">
        <v>33.19</v>
      </c>
      <c r="M70">
        <v>54.13</v>
      </c>
      <c r="N70" s="4">
        <f t="shared" si="10"/>
        <v>54.13</v>
      </c>
      <c r="O70" s="6">
        <v>18</v>
      </c>
      <c r="P70" s="6">
        <v>15</v>
      </c>
      <c r="Q70" t="s">
        <v>784</v>
      </c>
      <c r="R70" t="str">
        <f t="shared" si="11"/>
        <v>GLA-A2</v>
      </c>
      <c r="S70" s="1">
        <v>45528</v>
      </c>
    </row>
    <row r="71" spans="1:19">
      <c r="A71" t="s">
        <v>262</v>
      </c>
      <c r="B71" t="s">
        <v>785</v>
      </c>
      <c r="C71" t="str">
        <f t="shared" si="6"/>
        <v>EC-ELE-0070</v>
      </c>
      <c r="D71" t="s">
        <v>786</v>
      </c>
      <c r="E71" t="str">
        <f t="shared" si="7"/>
        <v>PixelWorks Plus Bluetooth Speaker</v>
      </c>
      <c r="F71" t="s">
        <v>17</v>
      </c>
      <c r="G71" t="str">
        <f t="shared" si="8"/>
        <v>Electronics</v>
      </c>
      <c r="H71" t="s">
        <v>735</v>
      </c>
      <c r="I71" t="str" cm="1">
        <f t="array" ref="I71">PROPER(IF(TRIM(H71)&lt;&gt;"",TRIM(H71),IFERROR(INDEX('Brand Reference'!$A$2:$A$13,MATCH(TRUE,ISNUMBER(SEARCH('Brand Reference'!$A$2:$A$13,E71)),0)),"Unknown")))</f>
        <v>Pixelworks</v>
      </c>
      <c r="J71" t="s">
        <v>25</v>
      </c>
      <c r="K71" t="str">
        <f t="shared" si="9"/>
        <v>Everwell Supply</v>
      </c>
      <c r="L71" s="4">
        <v>44.88</v>
      </c>
      <c r="M71">
        <v>106.7</v>
      </c>
      <c r="N71" s="4">
        <f t="shared" si="10"/>
        <v>106.7</v>
      </c>
      <c r="O71" s="6">
        <v>97</v>
      </c>
      <c r="P71" s="6">
        <v>40</v>
      </c>
      <c r="Q71" t="s">
        <v>20</v>
      </c>
      <c r="R71" t="str">
        <f t="shared" si="11"/>
        <v>LON-A1</v>
      </c>
      <c r="S71" s="1">
        <v>45388</v>
      </c>
    </row>
    <row r="72" spans="1:19">
      <c r="A72" t="s">
        <v>265</v>
      </c>
      <c r="B72" t="s">
        <v>787</v>
      </c>
      <c r="C72" t="str">
        <f t="shared" si="6"/>
        <v>EC-ELE-0071</v>
      </c>
      <c r="D72" t="s">
        <v>788</v>
      </c>
      <c r="E72" t="str">
        <f t="shared" si="7"/>
        <v>Oak &amp; Ember Everyday Mechanical Keyboard</v>
      </c>
      <c r="F72" t="s">
        <v>17</v>
      </c>
      <c r="G72" t="str">
        <f t="shared" si="8"/>
        <v>Electronics</v>
      </c>
      <c r="H72" t="s">
        <v>64</v>
      </c>
      <c r="I72" t="str" cm="1">
        <f t="array" ref="I72">PROPER(IF(TRIM(H72)&lt;&gt;"",TRIM(H72),IFERROR(INDEX('Brand Reference'!$A$2:$A$13,MATCH(TRUE,ISNUMBER(SEARCH('Brand Reference'!$A$2:$A$13,E72)),0)),"Unknown")))</f>
        <v>Oak &amp; Ember</v>
      </c>
      <c r="J72" t="s">
        <v>49</v>
      </c>
      <c r="K72" t="str">
        <f t="shared" si="9"/>
        <v>Ivory Peak Logistics</v>
      </c>
      <c r="L72" s="4">
        <v>55.72</v>
      </c>
      <c r="M72">
        <v>104.11</v>
      </c>
      <c r="N72" s="4">
        <f t="shared" si="10"/>
        <v>104.11</v>
      </c>
      <c r="O72" s="6">
        <v>132</v>
      </c>
      <c r="P72" s="6">
        <v>10</v>
      </c>
      <c r="Q72" t="s">
        <v>50</v>
      </c>
      <c r="R72" t="str">
        <f t="shared" si="11"/>
        <v>LDS-B1</v>
      </c>
      <c r="S72" s="1">
        <v>45635</v>
      </c>
    </row>
    <row r="73" spans="1:19">
      <c r="A73" t="s">
        <v>268</v>
      </c>
      <c r="B73" t="s">
        <v>269</v>
      </c>
      <c r="C73" t="str">
        <f t="shared" si="6"/>
        <v>EC-HOM-0072</v>
      </c>
      <c r="D73" t="s">
        <v>270</v>
      </c>
      <c r="E73" t="str">
        <f t="shared" si="7"/>
        <v>Cedar Lane Everyday Desk Organiser</v>
      </c>
      <c r="F73" t="s">
        <v>30</v>
      </c>
      <c r="G73" t="str">
        <f t="shared" si="8"/>
        <v>Home &amp; Office</v>
      </c>
      <c r="H73" t="s">
        <v>789</v>
      </c>
      <c r="I73" t="str" cm="1">
        <f t="array" ref="I73">PROPER(IF(TRIM(H73)&lt;&gt;"",TRIM(H73),IFERROR(INDEX('Brand Reference'!$A$2:$A$13,MATCH(TRUE,ISNUMBER(SEARCH('Brand Reference'!$A$2:$A$13,E73)),0)),"Unknown")))</f>
        <v>Cedar Lane</v>
      </c>
      <c r="J73" t="s">
        <v>19</v>
      </c>
      <c r="K73" t="str">
        <f t="shared" si="9"/>
        <v>Dovetail Trading Co.</v>
      </c>
      <c r="L73" s="4">
        <v>47.05</v>
      </c>
      <c r="M73">
        <v>75.33</v>
      </c>
      <c r="N73" s="4">
        <f t="shared" si="10"/>
        <v>75.33</v>
      </c>
      <c r="O73" s="6">
        <v>201</v>
      </c>
      <c r="P73" s="6">
        <v>40</v>
      </c>
      <c r="Q73" t="s">
        <v>20</v>
      </c>
      <c r="R73" t="str">
        <f t="shared" si="11"/>
        <v>LON-A1</v>
      </c>
      <c r="S73" s="1">
        <v>45471</v>
      </c>
    </row>
    <row r="74" spans="1:19">
      <c r="A74" t="s">
        <v>271</v>
      </c>
      <c r="B74" t="s">
        <v>272</v>
      </c>
      <c r="C74" t="str">
        <f t="shared" si="6"/>
        <v>EC-ACC-0073</v>
      </c>
      <c r="D74" t="s">
        <v>273</v>
      </c>
      <c r="E74" t="str">
        <f t="shared" si="7"/>
        <v>Harbour &amp; Hill Travel Screen Protector</v>
      </c>
      <c r="F74" t="s">
        <v>42</v>
      </c>
      <c r="G74" t="str">
        <f t="shared" si="8"/>
        <v>Accessories</v>
      </c>
      <c r="I74" t="str" cm="1">
        <f t="array" ref="I74">PROPER(IF(TRIM(H74)&lt;&gt;"",TRIM(H74),IFERROR(INDEX('Brand Reference'!$A$2:$A$13,MATCH(TRUE,ISNUMBER(SEARCH('Brand Reference'!$A$2:$A$13,E74)),0)),"Unknown")))</f>
        <v>Harbour &amp; Hill</v>
      </c>
      <c r="J74" t="s">
        <v>37</v>
      </c>
      <c r="K74" t="str">
        <f t="shared" si="9"/>
        <v>Greenway Goods</v>
      </c>
      <c r="L74" s="4">
        <v>53.75</v>
      </c>
      <c r="M74">
        <v>82.71</v>
      </c>
      <c r="N74" s="4">
        <f t="shared" si="10"/>
        <v>82.71</v>
      </c>
      <c r="O74" s="6">
        <v>84</v>
      </c>
      <c r="P74" s="6">
        <v>15</v>
      </c>
      <c r="Q74" t="s">
        <v>780</v>
      </c>
      <c r="R74" t="str">
        <f t="shared" si="11"/>
        <v>MAN-A1</v>
      </c>
      <c r="S74" s="1">
        <v>45982</v>
      </c>
    </row>
    <row r="75" spans="1:19">
      <c r="A75" t="s">
        <v>274</v>
      </c>
      <c r="B75" t="s">
        <v>275</v>
      </c>
      <c r="C75" t="str">
        <f t="shared" si="6"/>
        <v>EC-STA-0074</v>
      </c>
      <c r="D75" t="s">
        <v>276</v>
      </c>
      <c r="E75" t="str">
        <f t="shared" si="7"/>
        <v>Morrow Compact Notebook Set</v>
      </c>
      <c r="F75" t="s">
        <v>191</v>
      </c>
      <c r="G75" t="str">
        <f t="shared" si="8"/>
        <v>Stationery</v>
      </c>
      <c r="H75" t="s">
        <v>48</v>
      </c>
      <c r="I75" t="str" cm="1">
        <f t="array" ref="I75">PROPER(IF(TRIM(H75)&lt;&gt;"",TRIM(H75),IFERROR(INDEX('Brand Reference'!$A$2:$A$13,MATCH(TRUE,ISNUMBER(SEARCH('Brand Reference'!$A$2:$A$13,E75)),0)),"Unknown")))</f>
        <v>Morrow</v>
      </c>
      <c r="J75" t="s">
        <v>159</v>
      </c>
      <c r="K75" t="str">
        <f t="shared" si="9"/>
        <v>Foxbridge Partners</v>
      </c>
      <c r="L75" s="4">
        <v>64.12</v>
      </c>
      <c r="M75">
        <v>95.75</v>
      </c>
      <c r="N75" s="4">
        <f t="shared" si="10"/>
        <v>95.75</v>
      </c>
      <c r="O75" s="6">
        <v>124</v>
      </c>
      <c r="P75" s="6">
        <v>40</v>
      </c>
      <c r="Q75" t="s">
        <v>97</v>
      </c>
      <c r="R75" t="str">
        <f t="shared" si="11"/>
        <v>LON-B2</v>
      </c>
      <c r="S75" s="1">
        <v>45597</v>
      </c>
    </row>
    <row r="76" spans="1:19">
      <c r="A76" t="s">
        <v>277</v>
      </c>
      <c r="B76" t="s">
        <v>790</v>
      </c>
      <c r="C76" t="str">
        <f t="shared" si="6"/>
        <v>EC-GAR-0075</v>
      </c>
      <c r="D76" t="s">
        <v>279</v>
      </c>
      <c r="E76" t="str">
        <f t="shared" si="7"/>
        <v>Everyday Co. Premium Plant Pot</v>
      </c>
      <c r="F76" t="s">
        <v>73</v>
      </c>
      <c r="G76" t="str">
        <f t="shared" si="8"/>
        <v>Garden</v>
      </c>
      <c r="H76" t="s">
        <v>24</v>
      </c>
      <c r="I76" t="str" cm="1">
        <f t="array" ref="I76">PROPER(IF(TRIM(H76)&lt;&gt;"",TRIM(H76),IFERROR(INDEX('Brand Reference'!$A$2:$A$13,MATCH(TRUE,ISNUMBER(SEARCH('Brand Reference'!$A$2:$A$13,E76)),0)),"Unknown")))</f>
        <v>Everyday Co.</v>
      </c>
      <c r="J76" t="s">
        <v>59</v>
      </c>
      <c r="K76" t="str">
        <f t="shared" si="9"/>
        <v>Bluegate Distribution</v>
      </c>
      <c r="L76" s="4">
        <v>9.6199999999999992</v>
      </c>
      <c r="M76">
        <v>20.37</v>
      </c>
      <c r="N76" s="4">
        <f t="shared" si="10"/>
        <v>20.37</v>
      </c>
      <c r="O76" s="6">
        <v>214</v>
      </c>
      <c r="P76" s="6">
        <v>25</v>
      </c>
      <c r="Q76" t="s">
        <v>50</v>
      </c>
      <c r="R76" t="str">
        <f t="shared" si="11"/>
        <v>LDS-B1</v>
      </c>
      <c r="S76" s="1">
        <v>46021</v>
      </c>
    </row>
    <row r="77" spans="1:19">
      <c r="A77" t="s">
        <v>280</v>
      </c>
      <c r="B77" t="s">
        <v>281</v>
      </c>
      <c r="C77" t="str">
        <f t="shared" si="6"/>
        <v>EC-HOM-0076</v>
      </c>
      <c r="D77" t="s">
        <v>282</v>
      </c>
      <c r="E77" t="str">
        <f t="shared" si="7"/>
        <v>Northstar Eco Desk Organiser - Sage</v>
      </c>
      <c r="F77" t="s">
        <v>30</v>
      </c>
      <c r="G77" t="str">
        <f t="shared" si="8"/>
        <v>Home &amp; Office</v>
      </c>
      <c r="H77" t="s">
        <v>83</v>
      </c>
      <c r="I77" t="str" cm="1">
        <f t="array" ref="I77">PROPER(IF(TRIM(H77)&lt;&gt;"",TRIM(H77),IFERROR(INDEX('Brand Reference'!$A$2:$A$13,MATCH(TRUE,ISNUMBER(SEARCH('Brand Reference'!$A$2:$A$13,E77)),0)),"Unknown")))</f>
        <v>Northstar</v>
      </c>
      <c r="J77" t="s">
        <v>49</v>
      </c>
      <c r="K77" t="str">
        <f t="shared" si="9"/>
        <v>Ivory Peak Logistics</v>
      </c>
      <c r="L77" s="4">
        <v>33.44</v>
      </c>
      <c r="M77">
        <v>54.15</v>
      </c>
      <c r="N77" s="4">
        <f t="shared" si="10"/>
        <v>54.15</v>
      </c>
      <c r="O77" s="6">
        <v>155</v>
      </c>
      <c r="P77" s="6">
        <v>12</v>
      </c>
      <c r="Q77" t="s">
        <v>20</v>
      </c>
      <c r="R77" t="str">
        <f t="shared" si="11"/>
        <v>LON-A1</v>
      </c>
      <c r="S77" s="1">
        <v>45920</v>
      </c>
    </row>
    <row r="78" spans="1:19">
      <c r="A78" t="s">
        <v>283</v>
      </c>
      <c r="B78" t="s">
        <v>284</v>
      </c>
      <c r="C78" t="str">
        <f t="shared" si="6"/>
        <v>EC-KIT-0077</v>
      </c>
      <c r="D78" t="s">
        <v>285</v>
      </c>
      <c r="E78" t="str">
        <f t="shared" si="7"/>
        <v>Kindred Premium Coffee Grinder</v>
      </c>
      <c r="F78" t="s">
        <v>36</v>
      </c>
      <c r="G78" t="str">
        <f t="shared" si="8"/>
        <v>Kitchen</v>
      </c>
      <c r="I78" t="str" cm="1">
        <f t="array" ref="I78">PROPER(IF(TRIM(H78)&lt;&gt;"",TRIM(H78),IFERROR(INDEX('Brand Reference'!$A$2:$A$13,MATCH(TRUE,ISNUMBER(SEARCH('Brand Reference'!$A$2:$A$13,E78)),0)),"Unknown")))</f>
        <v>Kindred</v>
      </c>
      <c r="J78" t="s">
        <v>743</v>
      </c>
      <c r="K78" t="str">
        <f t="shared" si="9"/>
        <v>Bluegate Distribution</v>
      </c>
      <c r="L78" s="4">
        <v>22.29</v>
      </c>
      <c r="M78">
        <v>41.65</v>
      </c>
      <c r="N78" s="4">
        <f t="shared" si="10"/>
        <v>41.65</v>
      </c>
      <c r="O78" s="6">
        <v>81</v>
      </c>
      <c r="P78" s="6">
        <v>40</v>
      </c>
      <c r="Q78" t="s">
        <v>97</v>
      </c>
      <c r="R78" t="str">
        <f t="shared" si="11"/>
        <v>LON-B2</v>
      </c>
      <c r="S78" s="1">
        <v>45523</v>
      </c>
    </row>
    <row r="79" spans="1:19">
      <c r="A79" t="s">
        <v>286</v>
      </c>
      <c r="B79" t="s">
        <v>791</v>
      </c>
      <c r="C79" t="str">
        <f t="shared" si="6"/>
        <v>EC-HEA-0078</v>
      </c>
      <c r="D79" t="s">
        <v>288</v>
      </c>
      <c r="E79" t="str">
        <f t="shared" si="7"/>
        <v>Cedar Lane Pro First Aid Kit</v>
      </c>
      <c r="F79" t="s">
        <v>289</v>
      </c>
      <c r="G79" t="str">
        <f t="shared" si="8"/>
        <v>Health</v>
      </c>
      <c r="H79" t="s">
        <v>146</v>
      </c>
      <c r="I79" t="str" cm="1">
        <f t="array" ref="I79">PROPER(IF(TRIM(H79)&lt;&gt;"",TRIM(H79),IFERROR(INDEX('Brand Reference'!$A$2:$A$13,MATCH(TRUE,ISNUMBER(SEARCH('Brand Reference'!$A$2:$A$13,E79)),0)),"Unknown")))</f>
        <v>Cedar Lane</v>
      </c>
      <c r="J79" t="s">
        <v>101</v>
      </c>
      <c r="K79" t="str">
        <f t="shared" si="9"/>
        <v>Aster Wholesale Ltd</v>
      </c>
      <c r="L79" s="4">
        <v>23.07</v>
      </c>
      <c r="M79">
        <v>42.42</v>
      </c>
      <c r="N79" s="4">
        <f t="shared" si="10"/>
        <v>42.42</v>
      </c>
      <c r="O79" s="6">
        <v>151</v>
      </c>
      <c r="P79" s="6">
        <v>12</v>
      </c>
      <c r="Q79" t="s">
        <v>44</v>
      </c>
      <c r="R79" t="str">
        <f t="shared" si="11"/>
        <v>BHM-C3</v>
      </c>
      <c r="S79" s="1">
        <v>46072</v>
      </c>
    </row>
    <row r="80" spans="1:19">
      <c r="A80" t="s">
        <v>290</v>
      </c>
      <c r="B80" t="s">
        <v>291</v>
      </c>
      <c r="C80" t="str">
        <f t="shared" si="6"/>
        <v>EC-ELE-0079</v>
      </c>
      <c r="D80" t="s">
        <v>292</v>
      </c>
      <c r="E80" t="str">
        <f t="shared" si="7"/>
        <v>Everyday Co. Everyday Webcam</v>
      </c>
      <c r="F80" t="s">
        <v>17</v>
      </c>
      <c r="G80" t="str">
        <f t="shared" si="8"/>
        <v>Electronics</v>
      </c>
      <c r="H80" t="s">
        <v>24</v>
      </c>
      <c r="I80" t="str" cm="1">
        <f t="array" ref="I80">PROPER(IF(TRIM(H80)&lt;&gt;"",TRIM(H80),IFERROR(INDEX('Brand Reference'!$A$2:$A$13,MATCH(TRUE,ISNUMBER(SEARCH('Brand Reference'!$A$2:$A$13,E80)),0)),"Unknown")))</f>
        <v>Everyday Co.</v>
      </c>
      <c r="J80" t="s">
        <v>25</v>
      </c>
      <c r="K80" t="str">
        <f t="shared" si="9"/>
        <v>Everwell Supply</v>
      </c>
      <c r="L80" s="4">
        <v>7.85</v>
      </c>
      <c r="M80">
        <v>13.92</v>
      </c>
      <c r="N80" s="4">
        <f t="shared" si="10"/>
        <v>13.92</v>
      </c>
      <c r="O80" s="6">
        <v>140</v>
      </c>
      <c r="P80" s="6">
        <v>40</v>
      </c>
      <c r="Q80" t="s">
        <v>780</v>
      </c>
      <c r="R80" t="str">
        <f t="shared" si="11"/>
        <v>MAN-A1</v>
      </c>
      <c r="S80" s="1">
        <v>46201</v>
      </c>
    </row>
    <row r="81" spans="1:19">
      <c r="A81" t="s">
        <v>293</v>
      </c>
      <c r="B81" t="s">
        <v>294</v>
      </c>
      <c r="C81" t="str">
        <f t="shared" si="6"/>
        <v>EC-HEA-0080</v>
      </c>
      <c r="D81" t="s">
        <v>295</v>
      </c>
      <c r="E81" t="str">
        <f t="shared" si="7"/>
        <v>Harbour &amp; Hill Essential First Aid Kit</v>
      </c>
      <c r="F81" t="s">
        <v>289</v>
      </c>
      <c r="G81" t="str">
        <f t="shared" si="8"/>
        <v>Health</v>
      </c>
      <c r="H81" t="s">
        <v>741</v>
      </c>
      <c r="I81" t="str" cm="1">
        <f t="array" ref="I81">PROPER(IF(TRIM(H81)&lt;&gt;"",TRIM(H81),IFERROR(INDEX('Brand Reference'!$A$2:$A$13,MATCH(TRUE,ISNUMBER(SEARCH('Brand Reference'!$A$2:$A$13,E81)),0)),"Unknown")))</f>
        <v>Harbour &amp; Hill</v>
      </c>
      <c r="J81" t="s">
        <v>25</v>
      </c>
      <c r="K81" t="str">
        <f t="shared" si="9"/>
        <v>Everwell Supply</v>
      </c>
      <c r="L81" s="4">
        <v>69.94</v>
      </c>
      <c r="M81">
        <v>102.24</v>
      </c>
      <c r="N81" s="4">
        <f t="shared" si="10"/>
        <v>102.24</v>
      </c>
      <c r="O81" s="6">
        <v>15</v>
      </c>
      <c r="P81" s="6">
        <v>15</v>
      </c>
      <c r="Q81" t="s">
        <v>50</v>
      </c>
      <c r="R81" t="str">
        <f t="shared" si="11"/>
        <v>LDS-B1</v>
      </c>
      <c r="S81" s="1">
        <v>45728</v>
      </c>
    </row>
    <row r="82" spans="1:19">
      <c r="A82" t="s">
        <v>296</v>
      </c>
      <c r="B82" t="s">
        <v>792</v>
      </c>
      <c r="C82" t="str">
        <f t="shared" si="6"/>
        <v>EC-APP-0081</v>
      </c>
      <c r="D82" t="s">
        <v>298</v>
      </c>
      <c r="E82" t="str">
        <f t="shared" si="7"/>
        <v>Kindred Eco Cotton T-Shirt - Rose</v>
      </c>
      <c r="F82" t="s">
        <v>198</v>
      </c>
      <c r="G82" t="str">
        <f t="shared" si="8"/>
        <v>Apparel</v>
      </c>
      <c r="H82" t="s">
        <v>31</v>
      </c>
      <c r="I82" t="str" cm="1">
        <f t="array" ref="I82">PROPER(IF(TRIM(H82)&lt;&gt;"",TRIM(H82),IFERROR(INDEX('Brand Reference'!$A$2:$A$13,MATCH(TRUE,ISNUMBER(SEARCH('Brand Reference'!$A$2:$A$13,E82)),0)),"Unknown")))</f>
        <v>Kindred</v>
      </c>
      <c r="J82" t="s">
        <v>32</v>
      </c>
      <c r="K82" t="str">
        <f t="shared" si="9"/>
        <v>Juniper Merchants</v>
      </c>
      <c r="L82" s="4">
        <v>10.6</v>
      </c>
      <c r="M82">
        <v>18.8</v>
      </c>
      <c r="N82" s="4">
        <f t="shared" si="10"/>
        <v>18.8</v>
      </c>
      <c r="O82" s="6">
        <v>171</v>
      </c>
      <c r="P82" s="6">
        <v>30</v>
      </c>
      <c r="Q82" t="s">
        <v>38</v>
      </c>
      <c r="R82" t="str">
        <f t="shared" si="11"/>
        <v>GLA-A2</v>
      </c>
      <c r="S82" s="1">
        <v>45717</v>
      </c>
    </row>
    <row r="83" spans="1:19">
      <c r="A83" t="s">
        <v>299</v>
      </c>
      <c r="B83" t="s">
        <v>300</v>
      </c>
      <c r="C83" t="str">
        <f t="shared" si="6"/>
        <v>EC-GAR-0082</v>
      </c>
      <c r="D83" t="s">
        <v>301</v>
      </c>
      <c r="E83" t="str">
        <f t="shared" si="7"/>
        <v>Cedar Lane Deluxe Garden Gloves</v>
      </c>
      <c r="F83" t="s">
        <v>73</v>
      </c>
      <c r="G83" t="str">
        <f t="shared" si="8"/>
        <v>Garden</v>
      </c>
      <c r="H83" t="s">
        <v>146</v>
      </c>
      <c r="I83" t="str" cm="1">
        <f t="array" ref="I83">PROPER(IF(TRIM(H83)&lt;&gt;"",TRIM(H83),IFERROR(INDEX('Brand Reference'!$A$2:$A$13,MATCH(TRUE,ISNUMBER(SEARCH('Brand Reference'!$A$2:$A$13,E83)),0)),"Unknown")))</f>
        <v>Cedar Lane</v>
      </c>
      <c r="J83" t="s">
        <v>32</v>
      </c>
      <c r="K83" t="str">
        <f t="shared" si="9"/>
        <v>Juniper Merchants</v>
      </c>
      <c r="L83" s="4">
        <v>78.56</v>
      </c>
      <c r="M83">
        <v>127.02</v>
      </c>
      <c r="N83" s="4">
        <f t="shared" si="10"/>
        <v>127.02</v>
      </c>
      <c r="O83" s="6">
        <v>260</v>
      </c>
      <c r="P83" s="6">
        <v>20</v>
      </c>
      <c r="Q83" t="s">
        <v>97</v>
      </c>
      <c r="R83" t="str">
        <f t="shared" si="11"/>
        <v>LON-B2</v>
      </c>
      <c r="S83" s="1">
        <v>45368</v>
      </c>
    </row>
    <row r="84" spans="1:19">
      <c r="A84" t="s">
        <v>302</v>
      </c>
      <c r="B84" t="s">
        <v>303</v>
      </c>
      <c r="C84" t="str">
        <f t="shared" si="6"/>
        <v>EC-STA-0083</v>
      </c>
      <c r="D84" t="s">
        <v>304</v>
      </c>
      <c r="E84" t="str">
        <f t="shared" si="7"/>
        <v>Harbour &amp; Hill Eco Notebook Set - Graphite</v>
      </c>
      <c r="F84" t="s">
        <v>191</v>
      </c>
      <c r="G84" t="str">
        <f t="shared" si="8"/>
        <v>Stationery</v>
      </c>
      <c r="H84" t="s">
        <v>55</v>
      </c>
      <c r="I84" t="str" cm="1">
        <f t="array" ref="I84">PROPER(IF(TRIM(H84)&lt;&gt;"",TRIM(H84),IFERROR(INDEX('Brand Reference'!$A$2:$A$13,MATCH(TRUE,ISNUMBER(SEARCH('Brand Reference'!$A$2:$A$13,E84)),0)),"Unknown")))</f>
        <v>Harbour &amp; Hill</v>
      </c>
      <c r="J84" t="s">
        <v>32</v>
      </c>
      <c r="K84" t="str">
        <f t="shared" si="9"/>
        <v>Juniper Merchants</v>
      </c>
      <c r="L84" s="4">
        <v>83.9</v>
      </c>
      <c r="M84">
        <v>172</v>
      </c>
      <c r="N84" s="4">
        <f t="shared" si="10"/>
        <v>172</v>
      </c>
      <c r="O84" s="6">
        <v>30</v>
      </c>
      <c r="P84" s="6">
        <v>20</v>
      </c>
      <c r="Q84" t="s">
        <v>784</v>
      </c>
      <c r="R84" t="str">
        <f t="shared" si="11"/>
        <v>GLA-A2</v>
      </c>
      <c r="S84" s="1">
        <v>45366</v>
      </c>
    </row>
    <row r="85" spans="1:19">
      <c r="A85" t="s">
        <v>305</v>
      </c>
      <c r="B85" t="s">
        <v>306</v>
      </c>
      <c r="C85" t="str">
        <f t="shared" si="6"/>
        <v>EC-GAR-0084</v>
      </c>
      <c r="D85" t="s">
        <v>307</v>
      </c>
      <c r="E85" t="str">
        <f t="shared" si="7"/>
        <v>Oak &amp; Ember Deluxe Plant Pot</v>
      </c>
      <c r="F85" t="s">
        <v>73</v>
      </c>
      <c r="G85" t="str">
        <f t="shared" si="8"/>
        <v>Garden</v>
      </c>
      <c r="H85" t="s">
        <v>64</v>
      </c>
      <c r="I85" t="str" cm="1">
        <f t="array" ref="I85">PROPER(IF(TRIM(H85)&lt;&gt;"",TRIM(H85),IFERROR(INDEX('Brand Reference'!$A$2:$A$13,MATCH(TRUE,ISNUMBER(SEARCH('Brand Reference'!$A$2:$A$13,E85)),0)),"Unknown")))</f>
        <v>Oak &amp; Ember</v>
      </c>
      <c r="J85" t="s">
        <v>37</v>
      </c>
      <c r="K85" t="str">
        <f t="shared" si="9"/>
        <v>Greenway Goods</v>
      </c>
      <c r="L85" s="4">
        <v>54.32</v>
      </c>
      <c r="M85">
        <v>105.29</v>
      </c>
      <c r="N85" s="4">
        <f t="shared" si="10"/>
        <v>105.29</v>
      </c>
      <c r="O85" s="6">
        <v>146</v>
      </c>
      <c r="P85" s="6">
        <v>25</v>
      </c>
      <c r="Q85" t="s">
        <v>38</v>
      </c>
      <c r="R85" t="str">
        <f t="shared" si="11"/>
        <v>GLA-A2</v>
      </c>
      <c r="S85" s="1">
        <v>46010</v>
      </c>
    </row>
    <row r="86" spans="1:19">
      <c r="A86" t="s">
        <v>308</v>
      </c>
      <c r="B86" t="s">
        <v>793</v>
      </c>
      <c r="C86" t="str">
        <f t="shared" si="6"/>
        <v>EC-ELE-0085</v>
      </c>
      <c r="D86" t="s">
        <v>310</v>
      </c>
      <c r="E86" t="str">
        <f t="shared" si="7"/>
        <v>Harbour &amp; Hill Travel Wireless Mouse</v>
      </c>
      <c r="F86" t="s">
        <v>17</v>
      </c>
      <c r="G86" t="str">
        <f t="shared" si="8"/>
        <v>Electronics</v>
      </c>
      <c r="H86" t="s">
        <v>55</v>
      </c>
      <c r="I86" t="str" cm="1">
        <f t="array" ref="I86">PROPER(IF(TRIM(H86)&lt;&gt;"",TRIM(H86),IFERROR(INDEX('Brand Reference'!$A$2:$A$13,MATCH(TRUE,ISNUMBER(SEARCH('Brand Reference'!$A$2:$A$13,E86)),0)),"Unknown")))</f>
        <v>Harbour &amp; Hill</v>
      </c>
      <c r="J86" t="s">
        <v>101</v>
      </c>
      <c r="K86" t="str">
        <f t="shared" si="9"/>
        <v>Aster Wholesale Ltd</v>
      </c>
      <c r="L86" s="4">
        <v>76.08</v>
      </c>
      <c r="M86">
        <v>133.19</v>
      </c>
      <c r="N86" s="4">
        <f t="shared" si="10"/>
        <v>133.19</v>
      </c>
      <c r="O86" s="6">
        <v>124</v>
      </c>
      <c r="P86" s="6">
        <v>30</v>
      </c>
      <c r="Q86" t="s">
        <v>20</v>
      </c>
      <c r="R86" t="str">
        <f t="shared" si="11"/>
        <v>LON-A1</v>
      </c>
      <c r="S86" s="1">
        <v>46021</v>
      </c>
    </row>
    <row r="87" spans="1:19">
      <c r="A87" t="s">
        <v>311</v>
      </c>
      <c r="B87" t="s">
        <v>312</v>
      </c>
      <c r="C87" t="str">
        <f t="shared" si="6"/>
        <v>EC-HOM-0086</v>
      </c>
      <c r="D87" t="s">
        <v>313</v>
      </c>
      <c r="E87" t="str">
        <f t="shared" si="7"/>
        <v>Urban Field Essential Water Bottle</v>
      </c>
      <c r="F87" t="s">
        <v>30</v>
      </c>
      <c r="G87" t="str">
        <f t="shared" si="8"/>
        <v>Home &amp; Office</v>
      </c>
      <c r="H87" t="s">
        <v>69</v>
      </c>
      <c r="I87" t="str" cm="1">
        <f t="array" ref="I87">PROPER(IF(TRIM(H87)&lt;&gt;"",TRIM(H87),IFERROR(INDEX('Brand Reference'!$A$2:$A$13,MATCH(TRUE,ISNUMBER(SEARCH('Brand Reference'!$A$2:$A$13,E87)),0)),"Unknown")))</f>
        <v>Urban Field</v>
      </c>
      <c r="J87" t="s">
        <v>49</v>
      </c>
      <c r="K87" t="str">
        <f t="shared" si="9"/>
        <v>Ivory Peak Logistics</v>
      </c>
      <c r="L87" s="4">
        <v>84.79</v>
      </c>
      <c r="M87">
        <v>129.13999999999999</v>
      </c>
      <c r="N87" s="4">
        <f t="shared" si="10"/>
        <v>129.13999999999999</v>
      </c>
      <c r="O87" s="6">
        <v>97</v>
      </c>
      <c r="P87" s="6">
        <v>25</v>
      </c>
      <c r="Q87" t="s">
        <v>20</v>
      </c>
      <c r="R87" t="str">
        <f t="shared" si="11"/>
        <v>LON-A1</v>
      </c>
      <c r="S87" s="1">
        <v>45355</v>
      </c>
    </row>
    <row r="88" spans="1:19">
      <c r="A88" t="s">
        <v>314</v>
      </c>
      <c r="B88" t="s">
        <v>315</v>
      </c>
      <c r="C88" t="str">
        <f t="shared" si="6"/>
        <v>EC-ELE-0087</v>
      </c>
      <c r="D88" t="s">
        <v>316</v>
      </c>
      <c r="E88" t="str">
        <f t="shared" si="7"/>
        <v>Brightline Deluxe Webcam</v>
      </c>
      <c r="F88" t="s">
        <v>17</v>
      </c>
      <c r="G88" t="str">
        <f t="shared" si="8"/>
        <v>Electronics</v>
      </c>
      <c r="H88" t="s">
        <v>184</v>
      </c>
      <c r="I88" t="str" cm="1">
        <f t="array" ref="I88">PROPER(IF(TRIM(H88)&lt;&gt;"",TRIM(H88),IFERROR(INDEX('Brand Reference'!$A$2:$A$13,MATCH(TRUE,ISNUMBER(SEARCH('Brand Reference'!$A$2:$A$13,E88)),0)),"Unknown")))</f>
        <v>Brightline</v>
      </c>
      <c r="J88" t="s">
        <v>159</v>
      </c>
      <c r="K88" t="str">
        <f t="shared" si="9"/>
        <v>Foxbridge Partners</v>
      </c>
      <c r="L88" s="4">
        <v>30.93</v>
      </c>
      <c r="M88">
        <v>59.31</v>
      </c>
      <c r="N88" s="4">
        <f t="shared" si="10"/>
        <v>59.31</v>
      </c>
      <c r="O88" s="6">
        <v>50</v>
      </c>
      <c r="P88" s="6">
        <v>30</v>
      </c>
      <c r="Q88" t="s">
        <v>26</v>
      </c>
      <c r="R88" t="str">
        <f t="shared" si="11"/>
        <v>MAN-A1</v>
      </c>
      <c r="S88" s="1">
        <v>45773</v>
      </c>
    </row>
    <row r="89" spans="1:19">
      <c r="A89" t="s">
        <v>317</v>
      </c>
      <c r="B89" t="s">
        <v>318</v>
      </c>
      <c r="C89" t="str">
        <f t="shared" si="6"/>
        <v>EC-ELE-0088</v>
      </c>
      <c r="D89" t="s">
        <v>319</v>
      </c>
      <c r="E89" t="str">
        <f t="shared" si="7"/>
        <v>Everyday Co. Mini HDMI Cable</v>
      </c>
      <c r="F89" t="s">
        <v>763</v>
      </c>
      <c r="G89" t="str">
        <f t="shared" si="8"/>
        <v>Electronics</v>
      </c>
      <c r="H89" t="s">
        <v>24</v>
      </c>
      <c r="I89" t="str" cm="1">
        <f t="array" ref="I89">PROPER(IF(TRIM(H89)&lt;&gt;"",TRIM(H89),IFERROR(INDEX('Brand Reference'!$A$2:$A$13,MATCH(TRUE,ISNUMBER(SEARCH('Brand Reference'!$A$2:$A$13,E89)),0)),"Unknown")))</f>
        <v>Everyday Co.</v>
      </c>
      <c r="J89" t="s">
        <v>794</v>
      </c>
      <c r="K89" t="str">
        <f t="shared" si="9"/>
        <v>Juniper Merchants</v>
      </c>
      <c r="L89" s="4">
        <v>36.47</v>
      </c>
      <c r="M89">
        <v>75.06</v>
      </c>
      <c r="N89" s="4">
        <f t="shared" si="10"/>
        <v>75.06</v>
      </c>
      <c r="O89" s="6">
        <v>97</v>
      </c>
      <c r="P89" s="6">
        <v>40</v>
      </c>
      <c r="Q89" t="s">
        <v>97</v>
      </c>
      <c r="R89" t="str">
        <f t="shared" si="11"/>
        <v>LON-B2</v>
      </c>
      <c r="S89" s="1">
        <v>45990</v>
      </c>
    </row>
    <row r="90" spans="1:19">
      <c r="A90" t="s">
        <v>320</v>
      </c>
      <c r="B90" t="s">
        <v>321</v>
      </c>
      <c r="C90" t="str">
        <f t="shared" si="6"/>
        <v>EC-ELE-0089</v>
      </c>
      <c r="D90" t="s">
        <v>322</v>
      </c>
      <c r="E90" t="str">
        <f t="shared" si="7"/>
        <v>PixelWorks Everyday Phone Charger</v>
      </c>
      <c r="F90" t="s">
        <v>17</v>
      </c>
      <c r="G90" t="str">
        <f t="shared" si="8"/>
        <v>Electronics</v>
      </c>
      <c r="H90" t="s">
        <v>735</v>
      </c>
      <c r="I90" t="str" cm="1">
        <f t="array" ref="I90">PROPER(IF(TRIM(H90)&lt;&gt;"",TRIM(H90),IFERROR(INDEX('Brand Reference'!$A$2:$A$13,MATCH(TRUE,ISNUMBER(SEARCH('Brand Reference'!$A$2:$A$13,E90)),0)),"Unknown")))</f>
        <v>Pixelworks</v>
      </c>
      <c r="J90" t="s">
        <v>101</v>
      </c>
      <c r="K90" t="str">
        <f t="shared" si="9"/>
        <v>Aster Wholesale Ltd</v>
      </c>
      <c r="L90" s="4">
        <v>80.900000000000006</v>
      </c>
      <c r="M90">
        <v>190.72</v>
      </c>
      <c r="N90" s="4">
        <f t="shared" si="10"/>
        <v>190.72</v>
      </c>
      <c r="O90" s="6">
        <v>216</v>
      </c>
      <c r="P90" s="6">
        <v>12</v>
      </c>
      <c r="Q90" t="s">
        <v>50</v>
      </c>
      <c r="R90" t="str">
        <f t="shared" si="11"/>
        <v>LDS-B1</v>
      </c>
      <c r="S90" s="1">
        <v>45478</v>
      </c>
    </row>
    <row r="91" spans="1:19">
      <c r="A91" t="s">
        <v>323</v>
      </c>
      <c r="B91" t="s">
        <v>324</v>
      </c>
      <c r="C91" t="str">
        <f t="shared" si="6"/>
        <v>EC-ACC-0090</v>
      </c>
      <c r="D91" t="s">
        <v>325</v>
      </c>
      <c r="E91" t="str">
        <f t="shared" si="7"/>
        <v>Everyday Co. Essential Backpack - Blue</v>
      </c>
      <c r="F91" t="s">
        <v>795</v>
      </c>
      <c r="G91" t="str">
        <f t="shared" si="8"/>
        <v>Accessories</v>
      </c>
      <c r="H91" t="s">
        <v>24</v>
      </c>
      <c r="I91" t="str" cm="1">
        <f t="array" ref="I91">PROPER(IF(TRIM(H91)&lt;&gt;"",TRIM(H91),IFERROR(INDEX('Brand Reference'!$A$2:$A$13,MATCH(TRUE,ISNUMBER(SEARCH('Brand Reference'!$A$2:$A$13,E91)),0)),"Unknown")))</f>
        <v>Everyday Co.</v>
      </c>
      <c r="J91" t="s">
        <v>37</v>
      </c>
      <c r="K91" t="str">
        <f t="shared" si="9"/>
        <v>Greenway Goods</v>
      </c>
      <c r="L91" s="4">
        <v>41.58</v>
      </c>
      <c r="M91">
        <v>90.31</v>
      </c>
      <c r="N91" s="4">
        <f t="shared" si="10"/>
        <v>90.31</v>
      </c>
      <c r="P91" s="6">
        <v>30</v>
      </c>
      <c r="Q91" t="s">
        <v>50</v>
      </c>
      <c r="R91" t="str">
        <f t="shared" si="11"/>
        <v>LDS-B1</v>
      </c>
      <c r="S91" s="1">
        <v>45663</v>
      </c>
    </row>
    <row r="92" spans="1:19">
      <c r="A92" t="s">
        <v>326</v>
      </c>
      <c r="B92" t="s">
        <v>327</v>
      </c>
      <c r="C92" t="str">
        <f t="shared" si="6"/>
        <v>EC-APP-0091</v>
      </c>
      <c r="D92" t="s">
        <v>328</v>
      </c>
      <c r="E92" t="str">
        <f t="shared" si="7"/>
        <v>Kindred Travel Running Socks - Natural</v>
      </c>
      <c r="F92" t="s">
        <v>198</v>
      </c>
      <c r="G92" t="str">
        <f t="shared" si="8"/>
        <v>Apparel</v>
      </c>
      <c r="H92" t="s">
        <v>31</v>
      </c>
      <c r="I92" t="str" cm="1">
        <f t="array" ref="I92">PROPER(IF(TRIM(H92)&lt;&gt;"",TRIM(H92),IFERROR(INDEX('Brand Reference'!$A$2:$A$13,MATCH(TRUE,ISNUMBER(SEARCH('Brand Reference'!$A$2:$A$13,E92)),0)),"Unknown")))</f>
        <v>Kindred</v>
      </c>
      <c r="J92" t="s">
        <v>25</v>
      </c>
      <c r="K92" t="str">
        <f t="shared" si="9"/>
        <v>Everwell Supply</v>
      </c>
      <c r="L92" s="4">
        <v>11.22</v>
      </c>
      <c r="M92" t="s">
        <v>796</v>
      </c>
      <c r="N92" s="4">
        <f t="shared" si="10"/>
        <v>26.89</v>
      </c>
      <c r="O92" s="6">
        <v>5</v>
      </c>
      <c r="P92" s="6">
        <v>12</v>
      </c>
      <c r="Q92" t="s">
        <v>44</v>
      </c>
      <c r="R92" t="str">
        <f t="shared" si="11"/>
        <v>BHM-C3</v>
      </c>
      <c r="S92" s="1">
        <v>45921</v>
      </c>
    </row>
    <row r="93" spans="1:19">
      <c r="A93" t="s">
        <v>329</v>
      </c>
      <c r="B93" t="s">
        <v>330</v>
      </c>
      <c r="C93" t="str">
        <f t="shared" si="6"/>
        <v>EC-APP-0092</v>
      </c>
      <c r="D93" t="s">
        <v>331</v>
      </c>
      <c r="E93" t="str">
        <f t="shared" si="7"/>
        <v>PixelWorks Compact Cotton T-Shirt</v>
      </c>
      <c r="F93" t="s">
        <v>198</v>
      </c>
      <c r="G93" t="str">
        <f t="shared" si="8"/>
        <v>Apparel</v>
      </c>
      <c r="H93" t="s">
        <v>738</v>
      </c>
      <c r="I93" t="str" cm="1">
        <f t="array" ref="I93">PROPER(IF(TRIM(H93)&lt;&gt;"",TRIM(H93),IFERROR(INDEX('Brand Reference'!$A$2:$A$13,MATCH(TRUE,ISNUMBER(SEARCH('Brand Reference'!$A$2:$A$13,E93)),0)),"Unknown")))</f>
        <v>Pixelworks</v>
      </c>
      <c r="J93" t="s">
        <v>794</v>
      </c>
      <c r="K93" t="str">
        <f t="shared" si="9"/>
        <v>Juniper Merchants</v>
      </c>
      <c r="L93" s="4">
        <v>9.0500000000000007</v>
      </c>
      <c r="M93">
        <v>19.87</v>
      </c>
      <c r="N93" s="4">
        <f t="shared" si="10"/>
        <v>19.87</v>
      </c>
      <c r="O93" s="6">
        <v>135</v>
      </c>
      <c r="P93" s="6">
        <v>25</v>
      </c>
      <c r="Q93" t="s">
        <v>38</v>
      </c>
      <c r="R93" t="str">
        <f t="shared" si="11"/>
        <v>GLA-A2</v>
      </c>
      <c r="S93" s="1">
        <v>46166</v>
      </c>
    </row>
    <row r="94" spans="1:19">
      <c r="A94" t="s">
        <v>332</v>
      </c>
      <c r="B94" t="s">
        <v>333</v>
      </c>
      <c r="C94" t="str">
        <f t="shared" si="6"/>
        <v>EC-APP-0093</v>
      </c>
      <c r="D94" t="s">
        <v>334</v>
      </c>
      <c r="E94" t="str">
        <f t="shared" si="7"/>
        <v>Kindred Studio Cotton T-Shirt - Natural</v>
      </c>
      <c r="F94" t="s">
        <v>198</v>
      </c>
      <c r="G94" t="str">
        <f t="shared" si="8"/>
        <v>Apparel</v>
      </c>
      <c r="H94" t="s">
        <v>31</v>
      </c>
      <c r="I94" t="str" cm="1">
        <f t="array" ref="I94">PROPER(IF(TRIM(H94)&lt;&gt;"",TRIM(H94),IFERROR(INDEX('Brand Reference'!$A$2:$A$13,MATCH(TRUE,ISNUMBER(SEARCH('Brand Reference'!$A$2:$A$13,E94)),0)),"Unknown")))</f>
        <v>Kindred</v>
      </c>
      <c r="J94" t="s">
        <v>37</v>
      </c>
      <c r="K94" t="str">
        <f t="shared" si="9"/>
        <v>Greenway Goods</v>
      </c>
      <c r="L94" s="4">
        <v>36.9</v>
      </c>
      <c r="M94">
        <v>51.2</v>
      </c>
      <c r="N94" s="4">
        <f t="shared" si="10"/>
        <v>51.2</v>
      </c>
      <c r="P94" s="6">
        <v>40</v>
      </c>
      <c r="Q94" t="s">
        <v>50</v>
      </c>
      <c r="R94" t="str">
        <f t="shared" si="11"/>
        <v>LDS-B1</v>
      </c>
      <c r="S94" s="1">
        <v>45886</v>
      </c>
    </row>
    <row r="95" spans="1:19">
      <c r="A95" t="s">
        <v>335</v>
      </c>
      <c r="B95" t="s">
        <v>336</v>
      </c>
      <c r="C95" t="str">
        <f t="shared" si="6"/>
        <v>EC-HOM-0094</v>
      </c>
      <c r="D95" t="s">
        <v>337</v>
      </c>
      <c r="E95" t="str">
        <f t="shared" si="7"/>
        <v>Kindred Plus Water Bottle</v>
      </c>
      <c r="F95" t="s">
        <v>30</v>
      </c>
      <c r="G95" t="str">
        <f t="shared" si="8"/>
        <v>Home &amp; Office</v>
      </c>
      <c r="H95" t="s">
        <v>765</v>
      </c>
      <c r="I95" t="str" cm="1">
        <f t="array" ref="I95">PROPER(IF(TRIM(H95)&lt;&gt;"",TRIM(H95),IFERROR(INDEX('Brand Reference'!$A$2:$A$13,MATCH(TRUE,ISNUMBER(SEARCH('Brand Reference'!$A$2:$A$13,E95)),0)),"Unknown")))</f>
        <v>Kindred</v>
      </c>
      <c r="J95" t="s">
        <v>32</v>
      </c>
      <c r="K95" t="str">
        <f t="shared" si="9"/>
        <v>Juniper Merchants</v>
      </c>
      <c r="L95" s="4">
        <v>31.83</v>
      </c>
      <c r="M95">
        <v>61.08</v>
      </c>
      <c r="N95" s="4">
        <f t="shared" si="10"/>
        <v>61.08</v>
      </c>
      <c r="O95" s="6">
        <v>135</v>
      </c>
      <c r="P95" s="6">
        <v>20</v>
      </c>
      <c r="Q95" t="s">
        <v>97</v>
      </c>
      <c r="R95" t="str">
        <f t="shared" si="11"/>
        <v>LON-B2</v>
      </c>
      <c r="S95" s="1">
        <v>45517</v>
      </c>
    </row>
    <row r="96" spans="1:19">
      <c r="A96" t="s">
        <v>338</v>
      </c>
      <c r="B96" t="s">
        <v>339</v>
      </c>
      <c r="C96" t="str">
        <f t="shared" si="6"/>
        <v>EC-HOM-0095</v>
      </c>
      <c r="D96" t="s">
        <v>340</v>
      </c>
      <c r="E96" t="str">
        <f t="shared" si="7"/>
        <v>Kite &amp; Key Studio Ergonomic Chair</v>
      </c>
      <c r="F96" t="s">
        <v>30</v>
      </c>
      <c r="G96" t="str">
        <f t="shared" si="8"/>
        <v>Home &amp; Office</v>
      </c>
      <c r="H96" t="s">
        <v>43</v>
      </c>
      <c r="I96" t="str" cm="1">
        <f t="array" ref="I96">PROPER(IF(TRIM(H96)&lt;&gt;"",TRIM(H96),IFERROR(INDEX('Brand Reference'!$A$2:$A$13,MATCH(TRUE,ISNUMBER(SEARCH('Brand Reference'!$A$2:$A$13,E96)),0)),"Unknown")))</f>
        <v>Kite &amp; Key</v>
      </c>
      <c r="J96" t="s">
        <v>37</v>
      </c>
      <c r="K96" t="str">
        <f t="shared" si="9"/>
        <v>Greenway Goods</v>
      </c>
      <c r="L96" s="4">
        <v>62.48</v>
      </c>
      <c r="M96">
        <v>150.33000000000001</v>
      </c>
      <c r="N96" s="4">
        <f t="shared" si="10"/>
        <v>150.33000000000001</v>
      </c>
      <c r="O96" s="6">
        <v>62</v>
      </c>
      <c r="P96" s="6">
        <v>25</v>
      </c>
      <c r="Q96" t="s">
        <v>38</v>
      </c>
      <c r="R96" t="str">
        <f t="shared" si="11"/>
        <v>GLA-A2</v>
      </c>
    </row>
    <row r="97" spans="1:19">
      <c r="A97" t="s">
        <v>341</v>
      </c>
      <c r="B97" t="s">
        <v>342</v>
      </c>
      <c r="C97" t="str">
        <f t="shared" si="6"/>
        <v>EC-TRA-0096</v>
      </c>
      <c r="D97" t="s">
        <v>343</v>
      </c>
      <c r="E97" t="str">
        <f t="shared" si="7"/>
        <v>Harbour &amp; Hill Eco Packing Cubes</v>
      </c>
      <c r="F97" t="s">
        <v>797</v>
      </c>
      <c r="G97" t="str">
        <f t="shared" si="8"/>
        <v>Travel</v>
      </c>
      <c r="H97" t="s">
        <v>55</v>
      </c>
      <c r="I97" t="str" cm="1">
        <f t="array" ref="I97">PROPER(IF(TRIM(H97)&lt;&gt;"",TRIM(H97),IFERROR(INDEX('Brand Reference'!$A$2:$A$13,MATCH(TRUE,ISNUMBER(SEARCH('Brand Reference'!$A$2:$A$13,E97)),0)),"Unknown")))</f>
        <v>Harbour &amp; Hill</v>
      </c>
      <c r="J97" t="s">
        <v>159</v>
      </c>
      <c r="K97" t="str">
        <f t="shared" si="9"/>
        <v>Foxbridge Partners</v>
      </c>
      <c r="L97" s="4">
        <v>74.180000000000007</v>
      </c>
      <c r="M97" t="s">
        <v>798</v>
      </c>
      <c r="N97" s="4">
        <f t="shared" si="10"/>
        <v>181.15</v>
      </c>
      <c r="O97" s="6">
        <v>231</v>
      </c>
      <c r="P97" s="6">
        <v>25</v>
      </c>
      <c r="Q97" t="s">
        <v>20</v>
      </c>
      <c r="R97" t="str">
        <f t="shared" si="11"/>
        <v>LON-A1</v>
      </c>
      <c r="S97" s="1">
        <v>46064</v>
      </c>
    </row>
    <row r="98" spans="1:19">
      <c r="A98" t="s">
        <v>344</v>
      </c>
      <c r="B98" t="s">
        <v>799</v>
      </c>
      <c r="C98" t="str">
        <f t="shared" si="6"/>
        <v>EC-HOM-0097</v>
      </c>
      <c r="D98" t="s">
        <v>346</v>
      </c>
      <c r="E98" t="str">
        <f t="shared" si="7"/>
        <v>Kindred Mini LED Strip Lights</v>
      </c>
      <c r="F98" t="s">
        <v>30</v>
      </c>
      <c r="G98" t="str">
        <f t="shared" si="8"/>
        <v>Home &amp; Office</v>
      </c>
      <c r="H98" t="s">
        <v>765</v>
      </c>
      <c r="I98" t="str" cm="1">
        <f t="array" ref="I98">PROPER(IF(TRIM(H98)&lt;&gt;"",TRIM(H98),IFERROR(INDEX('Brand Reference'!$A$2:$A$13,MATCH(TRUE,ISNUMBER(SEARCH('Brand Reference'!$A$2:$A$13,E98)),0)),"Unknown")))</f>
        <v>Kindred</v>
      </c>
      <c r="J98" t="s">
        <v>49</v>
      </c>
      <c r="K98" t="str">
        <f t="shared" si="9"/>
        <v>Ivory Peak Logistics</v>
      </c>
      <c r="L98" s="4">
        <v>3.03</v>
      </c>
      <c r="M98">
        <v>5.47</v>
      </c>
      <c r="N98" s="4">
        <f t="shared" si="10"/>
        <v>5.47</v>
      </c>
      <c r="O98" s="6">
        <v>22</v>
      </c>
      <c r="P98" s="6">
        <v>5</v>
      </c>
      <c r="Q98" t="s">
        <v>38</v>
      </c>
      <c r="R98" t="str">
        <f t="shared" si="11"/>
        <v>GLA-A2</v>
      </c>
      <c r="S98" s="1">
        <v>45894</v>
      </c>
    </row>
    <row r="99" spans="1:19">
      <c r="A99" t="s">
        <v>347</v>
      </c>
      <c r="B99" t="s">
        <v>348</v>
      </c>
      <c r="C99" t="str">
        <f t="shared" si="6"/>
        <v>EC-ELE-0098</v>
      </c>
      <c r="D99" t="s">
        <v>349</v>
      </c>
      <c r="E99" t="str">
        <f t="shared" si="7"/>
        <v>PixelWorks Deluxe Webcam</v>
      </c>
      <c r="F99" t="s">
        <v>17</v>
      </c>
      <c r="G99" t="str">
        <f t="shared" si="8"/>
        <v>Electronics</v>
      </c>
      <c r="H99" t="s">
        <v>738</v>
      </c>
      <c r="I99" t="str" cm="1">
        <f t="array" ref="I99">PROPER(IF(TRIM(H99)&lt;&gt;"",TRIM(H99),IFERROR(INDEX('Brand Reference'!$A$2:$A$13,MATCH(TRUE,ISNUMBER(SEARCH('Brand Reference'!$A$2:$A$13,E99)),0)),"Unknown")))</f>
        <v>Pixelworks</v>
      </c>
      <c r="J99" t="s">
        <v>19</v>
      </c>
      <c r="K99" t="str">
        <f t="shared" si="9"/>
        <v>Dovetail Trading Co.</v>
      </c>
      <c r="L99" s="4">
        <v>77.92</v>
      </c>
      <c r="M99">
        <v>186.83</v>
      </c>
      <c r="N99" s="4">
        <f t="shared" si="10"/>
        <v>186.83</v>
      </c>
      <c r="O99" s="6">
        <v>131</v>
      </c>
      <c r="P99" s="6">
        <v>5</v>
      </c>
      <c r="Q99" t="s">
        <v>20</v>
      </c>
      <c r="R99" t="str">
        <f t="shared" si="11"/>
        <v>LON-A1</v>
      </c>
      <c r="S99" s="1">
        <v>45714</v>
      </c>
    </row>
    <row r="100" spans="1:19">
      <c r="A100" t="s">
        <v>350</v>
      </c>
      <c r="B100" t="s">
        <v>351</v>
      </c>
      <c r="C100" t="str">
        <f t="shared" si="6"/>
        <v>EC-APP-0099</v>
      </c>
      <c r="D100" t="s">
        <v>352</v>
      </c>
      <c r="E100" t="str">
        <f t="shared" si="7"/>
        <v>Urban Field Classic Cotton T-Shirt</v>
      </c>
      <c r="F100" t="s">
        <v>198</v>
      </c>
      <c r="G100" t="str">
        <f t="shared" si="8"/>
        <v>Apparel</v>
      </c>
      <c r="H100" t="s">
        <v>69</v>
      </c>
      <c r="I100" t="str" cm="1">
        <f t="array" ref="I100">PROPER(IF(TRIM(H100)&lt;&gt;"",TRIM(H100),IFERROR(INDEX('Brand Reference'!$A$2:$A$13,MATCH(TRUE,ISNUMBER(SEARCH('Brand Reference'!$A$2:$A$13,E100)),0)),"Unknown")))</f>
        <v>Urban Field</v>
      </c>
      <c r="J100" t="s">
        <v>79</v>
      </c>
      <c r="K100" t="str">
        <f t="shared" si="9"/>
        <v>Crownline Imports</v>
      </c>
      <c r="L100" s="4">
        <v>81.77</v>
      </c>
      <c r="M100">
        <v>158.93</v>
      </c>
      <c r="N100" s="4">
        <f t="shared" si="10"/>
        <v>158.93</v>
      </c>
      <c r="O100" s="6">
        <v>52</v>
      </c>
      <c r="P100" s="6">
        <v>5</v>
      </c>
      <c r="Q100" t="s">
        <v>20</v>
      </c>
      <c r="R100" t="str">
        <f t="shared" si="11"/>
        <v>LON-A1</v>
      </c>
      <c r="S100" s="1">
        <v>45884</v>
      </c>
    </row>
    <row r="101" spans="1:19">
      <c r="A101" t="s">
        <v>353</v>
      </c>
      <c r="B101" t="s">
        <v>354</v>
      </c>
      <c r="C101" t="str">
        <f t="shared" si="6"/>
        <v>EC-APP-0100</v>
      </c>
      <c r="D101" t="s">
        <v>355</v>
      </c>
      <c r="E101" t="str">
        <f t="shared" si="7"/>
        <v>Everyday Co. Plus Cotton T-Shirt</v>
      </c>
      <c r="F101" t="s">
        <v>198</v>
      </c>
      <c r="G101" t="str">
        <f t="shared" si="8"/>
        <v>Apparel</v>
      </c>
      <c r="H101" t="s">
        <v>800</v>
      </c>
      <c r="I101" t="str" cm="1">
        <f t="array" ref="I101">PROPER(IF(TRIM(H101)&lt;&gt;"",TRIM(H101),IFERROR(INDEX('Brand Reference'!$A$2:$A$13,MATCH(TRUE,ISNUMBER(SEARCH('Brand Reference'!$A$2:$A$13,E101)),0)),"Unknown")))</f>
        <v>Everyday Co.</v>
      </c>
      <c r="J101" t="s">
        <v>74</v>
      </c>
      <c r="K101" t="str">
        <f t="shared" si="9"/>
        <v>Harbour Stockists</v>
      </c>
      <c r="L101" s="4">
        <v>67.959999999999994</v>
      </c>
      <c r="M101">
        <v>97.12</v>
      </c>
      <c r="N101" s="4">
        <f t="shared" si="10"/>
        <v>97.12</v>
      </c>
      <c r="O101" s="6">
        <v>198</v>
      </c>
      <c r="P101" s="6">
        <v>5</v>
      </c>
      <c r="Q101" t="s">
        <v>38</v>
      </c>
      <c r="R101" t="str">
        <f t="shared" si="11"/>
        <v>GLA-A2</v>
      </c>
      <c r="S101" s="1">
        <v>45572</v>
      </c>
    </row>
    <row r="102" spans="1:19">
      <c r="A102" t="s">
        <v>356</v>
      </c>
      <c r="B102" t="s">
        <v>357</v>
      </c>
      <c r="C102" t="str">
        <f t="shared" si="6"/>
        <v>EC-ELE-0101</v>
      </c>
      <c r="D102" t="s">
        <v>358</v>
      </c>
      <c r="E102" t="str">
        <f t="shared" si="7"/>
        <v>Oak &amp; Ember Deluxe USB-C Hub</v>
      </c>
      <c r="F102" t="s">
        <v>17</v>
      </c>
      <c r="G102" t="str">
        <f t="shared" si="8"/>
        <v>Electronics</v>
      </c>
      <c r="H102" t="s">
        <v>64</v>
      </c>
      <c r="I102" t="str" cm="1">
        <f t="array" ref="I102">PROPER(IF(TRIM(H102)&lt;&gt;"",TRIM(H102),IFERROR(INDEX('Brand Reference'!$A$2:$A$13,MATCH(TRUE,ISNUMBER(SEARCH('Brand Reference'!$A$2:$A$13,E102)),0)),"Unknown")))</f>
        <v>Oak &amp; Ember</v>
      </c>
      <c r="J102" t="s">
        <v>79</v>
      </c>
      <c r="K102" t="str">
        <f t="shared" si="9"/>
        <v>Crownline Imports</v>
      </c>
      <c r="L102" s="4">
        <v>71.31</v>
      </c>
      <c r="M102" t="s">
        <v>801</v>
      </c>
      <c r="N102" s="4">
        <f t="shared" si="10"/>
        <v>130.88</v>
      </c>
      <c r="O102" s="6">
        <v>26</v>
      </c>
      <c r="P102" s="6">
        <v>30</v>
      </c>
      <c r="Q102" t="s">
        <v>26</v>
      </c>
      <c r="R102" t="str">
        <f t="shared" si="11"/>
        <v>MAN-A1</v>
      </c>
      <c r="S102" s="1">
        <v>45930</v>
      </c>
    </row>
    <row r="103" spans="1:19">
      <c r="A103" t="s">
        <v>359</v>
      </c>
      <c r="B103" t="s">
        <v>360</v>
      </c>
      <c r="C103" t="str">
        <f t="shared" si="6"/>
        <v>EC-GAR-0102</v>
      </c>
      <c r="D103" t="s">
        <v>361</v>
      </c>
      <c r="E103" t="str">
        <f t="shared" si="7"/>
        <v>Urban Field Studio Garden Gloves</v>
      </c>
      <c r="F103" t="s">
        <v>73</v>
      </c>
      <c r="G103" t="str">
        <f t="shared" si="8"/>
        <v>Garden</v>
      </c>
      <c r="H103" t="s">
        <v>69</v>
      </c>
      <c r="I103" t="str" cm="1">
        <f t="array" ref="I103">PROPER(IF(TRIM(H103)&lt;&gt;"",TRIM(H103),IFERROR(INDEX('Brand Reference'!$A$2:$A$13,MATCH(TRUE,ISNUMBER(SEARCH('Brand Reference'!$A$2:$A$13,E103)),0)),"Unknown")))</f>
        <v>Urban Field</v>
      </c>
      <c r="J103" t="s">
        <v>79</v>
      </c>
      <c r="K103" t="str">
        <f t="shared" si="9"/>
        <v>Crownline Imports</v>
      </c>
      <c r="L103" s="4">
        <v>7.87</v>
      </c>
      <c r="M103">
        <v>18.98</v>
      </c>
      <c r="N103" s="4">
        <f t="shared" si="10"/>
        <v>18.98</v>
      </c>
      <c r="O103" s="6">
        <v>211</v>
      </c>
      <c r="P103" s="6">
        <v>40</v>
      </c>
      <c r="Q103" t="s">
        <v>20</v>
      </c>
      <c r="R103" t="str">
        <f t="shared" si="11"/>
        <v>LON-A1</v>
      </c>
      <c r="S103" s="1">
        <v>46195</v>
      </c>
    </row>
    <row r="104" spans="1:19">
      <c r="A104" t="s">
        <v>362</v>
      </c>
      <c r="B104" t="s">
        <v>363</v>
      </c>
      <c r="C104" t="str">
        <f t="shared" si="6"/>
        <v>EC-ELE-0103</v>
      </c>
      <c r="D104" t="s">
        <v>364</v>
      </c>
      <c r="E104" t="str">
        <f t="shared" si="7"/>
        <v>Urban Field Deluxe HDMI Cable</v>
      </c>
      <c r="F104" t="s">
        <v>17</v>
      </c>
      <c r="G104" t="str">
        <f t="shared" si="8"/>
        <v>Electronics</v>
      </c>
      <c r="H104" t="s">
        <v>69</v>
      </c>
      <c r="I104" t="str" cm="1">
        <f t="array" ref="I104">PROPER(IF(TRIM(H104)&lt;&gt;"",TRIM(H104),IFERROR(INDEX('Brand Reference'!$A$2:$A$13,MATCH(TRUE,ISNUMBER(SEARCH('Brand Reference'!$A$2:$A$13,E104)),0)),"Unknown")))</f>
        <v>Urban Field</v>
      </c>
      <c r="J104" t="s">
        <v>79</v>
      </c>
      <c r="K104" t="str">
        <f t="shared" si="9"/>
        <v>Crownline Imports</v>
      </c>
      <c r="L104" s="4">
        <v>63.5</v>
      </c>
      <c r="M104">
        <v>122.32</v>
      </c>
      <c r="N104" s="4">
        <f t="shared" si="10"/>
        <v>122.32</v>
      </c>
      <c r="O104" s="6">
        <v>77</v>
      </c>
      <c r="P104" s="6">
        <v>15</v>
      </c>
      <c r="Q104" t="s">
        <v>50</v>
      </c>
      <c r="R104" t="str">
        <f t="shared" si="11"/>
        <v>LDS-B1</v>
      </c>
      <c r="S104" s="1">
        <v>45950</v>
      </c>
    </row>
    <row r="105" spans="1:19">
      <c r="A105" t="s">
        <v>365</v>
      </c>
      <c r="B105" t="s">
        <v>366</v>
      </c>
      <c r="C105" t="str">
        <f t="shared" si="6"/>
        <v>EC-ELE-0104</v>
      </c>
      <c r="D105" t="s">
        <v>367</v>
      </c>
      <c r="E105" t="str">
        <f t="shared" si="7"/>
        <v>Everyday Co. Everyday USB-C Hub</v>
      </c>
      <c r="F105" t="s">
        <v>17</v>
      </c>
      <c r="G105" t="str">
        <f t="shared" si="8"/>
        <v>Electronics</v>
      </c>
      <c r="H105" t="s">
        <v>24</v>
      </c>
      <c r="I105" t="str" cm="1">
        <f t="array" ref="I105">PROPER(IF(TRIM(H105)&lt;&gt;"",TRIM(H105),IFERROR(INDEX('Brand Reference'!$A$2:$A$13,MATCH(TRUE,ISNUMBER(SEARCH('Brand Reference'!$A$2:$A$13,E105)),0)),"Unknown")))</f>
        <v>Everyday Co.</v>
      </c>
      <c r="J105" t="s">
        <v>25</v>
      </c>
      <c r="K105" t="str">
        <f t="shared" si="9"/>
        <v>Everwell Supply</v>
      </c>
      <c r="L105" s="4">
        <v>31.96</v>
      </c>
      <c r="M105">
        <v>77.150000000000006</v>
      </c>
      <c r="N105" s="4">
        <f t="shared" si="10"/>
        <v>77.150000000000006</v>
      </c>
      <c r="O105" s="6">
        <v>5</v>
      </c>
      <c r="P105" s="6">
        <v>25</v>
      </c>
      <c r="Q105" t="s">
        <v>38</v>
      </c>
      <c r="R105" t="str">
        <f t="shared" si="11"/>
        <v>GLA-A2</v>
      </c>
      <c r="S105" s="1">
        <v>45481</v>
      </c>
    </row>
    <row r="106" spans="1:19">
      <c r="A106" t="s">
        <v>368</v>
      </c>
      <c r="B106" t="s">
        <v>369</v>
      </c>
      <c r="C106" t="str">
        <f t="shared" si="6"/>
        <v>EC-HOM-0105</v>
      </c>
      <c r="D106" t="s">
        <v>370</v>
      </c>
      <c r="E106" t="str">
        <f t="shared" si="7"/>
        <v>PixelWorks Pro Ergonomic Chair</v>
      </c>
      <c r="F106" t="s">
        <v>30</v>
      </c>
      <c r="G106" t="str">
        <f t="shared" si="8"/>
        <v>Home &amp; Office</v>
      </c>
      <c r="H106" t="s">
        <v>735</v>
      </c>
      <c r="I106" t="str" cm="1">
        <f t="array" ref="I106">PROPER(IF(TRIM(H106)&lt;&gt;"",TRIM(H106),IFERROR(INDEX('Brand Reference'!$A$2:$A$13,MATCH(TRUE,ISNUMBER(SEARCH('Brand Reference'!$A$2:$A$13,E106)),0)),"Unknown")))</f>
        <v>Pixelworks</v>
      </c>
      <c r="J106" t="s">
        <v>49</v>
      </c>
      <c r="K106" t="str">
        <f t="shared" si="9"/>
        <v>Ivory Peak Logistics</v>
      </c>
      <c r="L106" s="4">
        <v>48.76</v>
      </c>
      <c r="M106">
        <v>110.03</v>
      </c>
      <c r="N106" s="4">
        <f t="shared" si="10"/>
        <v>110.03</v>
      </c>
      <c r="O106" s="6">
        <v>37</v>
      </c>
      <c r="P106" s="6">
        <v>15</v>
      </c>
      <c r="Q106" t="s">
        <v>26</v>
      </c>
      <c r="R106" t="str">
        <f t="shared" si="11"/>
        <v>MAN-A1</v>
      </c>
      <c r="S106" s="1">
        <v>46242</v>
      </c>
    </row>
    <row r="107" spans="1:19">
      <c r="A107" t="s">
        <v>371</v>
      </c>
      <c r="B107" t="s">
        <v>372</v>
      </c>
      <c r="C107" t="str">
        <f t="shared" si="6"/>
        <v>EC-STA-0106</v>
      </c>
      <c r="D107" t="s">
        <v>373</v>
      </c>
      <c r="E107" t="str">
        <f t="shared" si="7"/>
        <v>Urban Field Everyday Notebook Set</v>
      </c>
      <c r="F107" t="s">
        <v>191</v>
      </c>
      <c r="G107" t="str">
        <f t="shared" si="8"/>
        <v>Stationery</v>
      </c>
      <c r="H107" t="s">
        <v>69</v>
      </c>
      <c r="I107" t="str" cm="1">
        <f t="array" ref="I107">PROPER(IF(TRIM(H107)&lt;&gt;"",TRIM(H107),IFERROR(INDEX('Brand Reference'!$A$2:$A$13,MATCH(TRUE,ISNUMBER(SEARCH('Brand Reference'!$A$2:$A$13,E107)),0)),"Unknown")))</f>
        <v>Urban Field</v>
      </c>
      <c r="J107" t="s">
        <v>19</v>
      </c>
      <c r="K107" t="str">
        <f t="shared" si="9"/>
        <v>Dovetail Trading Co.</v>
      </c>
      <c r="L107" s="4">
        <v>12.11</v>
      </c>
      <c r="M107">
        <v>19.7</v>
      </c>
      <c r="N107" s="4">
        <f t="shared" si="10"/>
        <v>19.7</v>
      </c>
      <c r="O107" s="6">
        <v>241</v>
      </c>
      <c r="P107" s="6">
        <v>25</v>
      </c>
      <c r="Q107" t="s">
        <v>97</v>
      </c>
      <c r="R107" t="str">
        <f t="shared" si="11"/>
        <v>LON-B2</v>
      </c>
      <c r="S107" s="1">
        <v>45683</v>
      </c>
    </row>
    <row r="108" spans="1:19">
      <c r="A108" t="s">
        <v>374</v>
      </c>
      <c r="B108" t="s">
        <v>375</v>
      </c>
      <c r="C108" t="str">
        <f t="shared" si="6"/>
        <v>EC-BEA-0107</v>
      </c>
      <c r="D108" t="s">
        <v>376</v>
      </c>
      <c r="E108" t="str">
        <f t="shared" si="7"/>
        <v>Everyday Co. Eco Hand Cream - Graphite</v>
      </c>
      <c r="F108" t="s">
        <v>54</v>
      </c>
      <c r="G108" t="str">
        <f t="shared" si="8"/>
        <v>Beauty</v>
      </c>
      <c r="H108" t="s">
        <v>24</v>
      </c>
      <c r="I108" t="str" cm="1">
        <f t="array" ref="I108">PROPER(IF(TRIM(H108)&lt;&gt;"",TRIM(H108),IFERROR(INDEX('Brand Reference'!$A$2:$A$13,MATCH(TRUE,ISNUMBER(SEARCH('Brand Reference'!$A$2:$A$13,E108)),0)),"Unknown")))</f>
        <v>Everyday Co.</v>
      </c>
      <c r="J108" t="s">
        <v>769</v>
      </c>
      <c r="K108" t="str">
        <f t="shared" si="9"/>
        <v>Everwell Supply</v>
      </c>
      <c r="L108" s="4">
        <v>84.4</v>
      </c>
      <c r="M108">
        <v>188.06</v>
      </c>
      <c r="N108" s="4">
        <f t="shared" si="10"/>
        <v>188.06</v>
      </c>
      <c r="O108" s="6">
        <v>25</v>
      </c>
      <c r="P108" s="6">
        <v>25</v>
      </c>
      <c r="Q108" t="s">
        <v>44</v>
      </c>
      <c r="R108" t="str">
        <f t="shared" si="11"/>
        <v>BHM-C3</v>
      </c>
      <c r="S108" s="1">
        <v>45755</v>
      </c>
    </row>
    <row r="109" spans="1:19">
      <c r="A109" t="s">
        <v>377</v>
      </c>
      <c r="B109" t="s">
        <v>378</v>
      </c>
      <c r="C109" t="str">
        <f t="shared" si="6"/>
        <v>EC-ELE-0108</v>
      </c>
      <c r="D109" t="s">
        <v>379</v>
      </c>
      <c r="E109" t="str">
        <f t="shared" si="7"/>
        <v>Oak &amp; Ember Premium Bluetooth Speaker</v>
      </c>
      <c r="F109" t="s">
        <v>17</v>
      </c>
      <c r="G109" t="str">
        <f t="shared" si="8"/>
        <v>Electronics</v>
      </c>
      <c r="H109" t="s">
        <v>64</v>
      </c>
      <c r="I109" t="str" cm="1">
        <f t="array" ref="I109">PROPER(IF(TRIM(H109)&lt;&gt;"",TRIM(H109),IFERROR(INDEX('Brand Reference'!$A$2:$A$13,MATCH(TRUE,ISNUMBER(SEARCH('Brand Reference'!$A$2:$A$13,E109)),0)),"Unknown")))</f>
        <v>Oak &amp; Ember</v>
      </c>
      <c r="J109" t="s">
        <v>59</v>
      </c>
      <c r="K109" t="str">
        <f t="shared" si="9"/>
        <v>Bluegate Distribution</v>
      </c>
      <c r="L109" s="4">
        <v>75.84</v>
      </c>
      <c r="M109">
        <v>181.53</v>
      </c>
      <c r="N109" s="4">
        <f t="shared" si="10"/>
        <v>181.53</v>
      </c>
      <c r="O109" s="6">
        <v>52</v>
      </c>
      <c r="P109" s="6">
        <v>15</v>
      </c>
      <c r="Q109" t="s">
        <v>26</v>
      </c>
      <c r="R109" t="str">
        <f t="shared" si="11"/>
        <v>MAN-A1</v>
      </c>
      <c r="S109" s="1">
        <v>45920</v>
      </c>
    </row>
    <row r="110" spans="1:19">
      <c r="A110" t="s">
        <v>380</v>
      </c>
      <c r="B110" t="s">
        <v>381</v>
      </c>
      <c r="C110" t="str">
        <f t="shared" si="6"/>
        <v>EC-ACC-0109</v>
      </c>
      <c r="D110" t="s">
        <v>382</v>
      </c>
      <c r="E110" t="str">
        <f t="shared" si="7"/>
        <v>Everyday Co. Essential Screen Protector</v>
      </c>
      <c r="F110" t="s">
        <v>42</v>
      </c>
      <c r="G110" t="str">
        <f t="shared" si="8"/>
        <v>Accessories</v>
      </c>
      <c r="H110" t="s">
        <v>24</v>
      </c>
      <c r="I110" t="str" cm="1">
        <f t="array" ref="I110">PROPER(IF(TRIM(H110)&lt;&gt;"",TRIM(H110),IFERROR(INDEX('Brand Reference'!$A$2:$A$13,MATCH(TRUE,ISNUMBER(SEARCH('Brand Reference'!$A$2:$A$13,E110)),0)),"Unknown")))</f>
        <v>Everyday Co.</v>
      </c>
      <c r="J110" t="s">
        <v>37</v>
      </c>
      <c r="K110" t="str">
        <f t="shared" si="9"/>
        <v>Greenway Goods</v>
      </c>
      <c r="L110" s="4">
        <v>13.04</v>
      </c>
      <c r="M110">
        <v>31.11</v>
      </c>
      <c r="N110" s="4">
        <f t="shared" si="10"/>
        <v>31.11</v>
      </c>
      <c r="O110" s="6">
        <v>24</v>
      </c>
      <c r="P110" s="6">
        <v>10</v>
      </c>
      <c r="Q110" t="s">
        <v>752</v>
      </c>
      <c r="R110" t="str">
        <f t="shared" si="11"/>
        <v>LON-A1</v>
      </c>
      <c r="S110" s="1">
        <v>45888</v>
      </c>
    </row>
    <row r="111" spans="1:19">
      <c r="A111" t="s">
        <v>383</v>
      </c>
      <c r="B111" t="s">
        <v>384</v>
      </c>
      <c r="C111" t="str">
        <f t="shared" si="6"/>
        <v>EC-HOM-0110</v>
      </c>
      <c r="D111" t="s">
        <v>385</v>
      </c>
      <c r="E111" t="str">
        <f t="shared" si="7"/>
        <v>Cedar Lane Classic Ergonomic Chair</v>
      </c>
      <c r="F111" t="s">
        <v>30</v>
      </c>
      <c r="G111" t="str">
        <f t="shared" si="8"/>
        <v>Home &amp; Office</v>
      </c>
      <c r="H111" t="s">
        <v>146</v>
      </c>
      <c r="I111" t="str" cm="1">
        <f t="array" ref="I111">PROPER(IF(TRIM(H111)&lt;&gt;"",TRIM(H111),IFERROR(INDEX('Brand Reference'!$A$2:$A$13,MATCH(TRUE,ISNUMBER(SEARCH('Brand Reference'!$A$2:$A$13,E111)),0)),"Unknown")))</f>
        <v>Cedar Lane</v>
      </c>
      <c r="J111" t="s">
        <v>74</v>
      </c>
      <c r="K111" t="str">
        <f t="shared" si="9"/>
        <v>Harbour Stockists</v>
      </c>
      <c r="L111" s="4">
        <v>18.93</v>
      </c>
      <c r="M111">
        <v>38.590000000000003</v>
      </c>
      <c r="N111" s="4">
        <f t="shared" si="10"/>
        <v>38.590000000000003</v>
      </c>
      <c r="O111" s="6">
        <v>163</v>
      </c>
      <c r="P111" s="6">
        <v>10</v>
      </c>
      <c r="Q111" t="s">
        <v>38</v>
      </c>
      <c r="R111" t="str">
        <f t="shared" si="11"/>
        <v>GLA-A2</v>
      </c>
      <c r="S111" s="1">
        <v>45810</v>
      </c>
    </row>
    <row r="112" spans="1:19">
      <c r="A112" t="s">
        <v>386</v>
      </c>
      <c r="B112" t="s">
        <v>387</v>
      </c>
      <c r="C112" t="str">
        <f t="shared" si="6"/>
        <v>EC-KIT-0111</v>
      </c>
      <c r="D112" t="s">
        <v>802</v>
      </c>
      <c r="E112" t="str">
        <f t="shared" si="7"/>
        <v>Cedar Lane Plus Coffee Grinder - Graphite</v>
      </c>
      <c r="F112" t="s">
        <v>36</v>
      </c>
      <c r="G112" t="str">
        <f t="shared" si="8"/>
        <v>Kitchen</v>
      </c>
      <c r="H112" t="s">
        <v>803</v>
      </c>
      <c r="I112" t="str" cm="1">
        <f t="array" ref="I112">PROPER(IF(TRIM(H112)&lt;&gt;"",TRIM(H112),IFERROR(INDEX('Brand Reference'!$A$2:$A$13,MATCH(TRUE,ISNUMBER(SEARCH('Brand Reference'!$A$2:$A$13,E112)),0)),"Unknown")))</f>
        <v>Cedar Lane</v>
      </c>
      <c r="J112" t="s">
        <v>101</v>
      </c>
      <c r="K112" t="str">
        <f t="shared" si="9"/>
        <v>Aster Wholesale Ltd</v>
      </c>
      <c r="L112" s="4">
        <v>31.83</v>
      </c>
      <c r="M112">
        <v>66.64</v>
      </c>
      <c r="N112" s="4">
        <f t="shared" si="10"/>
        <v>66.64</v>
      </c>
      <c r="O112" s="6">
        <v>252</v>
      </c>
      <c r="P112" s="6">
        <v>40</v>
      </c>
      <c r="Q112" t="s">
        <v>50</v>
      </c>
      <c r="R112" t="str">
        <f t="shared" si="11"/>
        <v>LDS-B1</v>
      </c>
      <c r="S112" s="1">
        <v>46170</v>
      </c>
    </row>
    <row r="113" spans="1:19">
      <c r="A113" t="s">
        <v>389</v>
      </c>
      <c r="B113" t="s">
        <v>390</v>
      </c>
      <c r="C113" t="str">
        <f t="shared" si="6"/>
        <v>EC-KIT-0112</v>
      </c>
      <c r="D113" t="s">
        <v>391</v>
      </c>
      <c r="E113" t="str">
        <f t="shared" si="7"/>
        <v>PixelWorks Everyday Coffee Grinder</v>
      </c>
      <c r="F113" t="s">
        <v>36</v>
      </c>
      <c r="G113" t="str">
        <f t="shared" si="8"/>
        <v>Kitchen</v>
      </c>
      <c r="H113" t="s">
        <v>735</v>
      </c>
      <c r="I113" t="str" cm="1">
        <f t="array" ref="I113">PROPER(IF(TRIM(H113)&lt;&gt;"",TRIM(H113),IFERROR(INDEX('Brand Reference'!$A$2:$A$13,MATCH(TRUE,ISNUMBER(SEARCH('Brand Reference'!$A$2:$A$13,E113)),0)),"Unknown")))</f>
        <v>Pixelworks</v>
      </c>
      <c r="J113" t="s">
        <v>37</v>
      </c>
      <c r="K113" t="str">
        <f t="shared" si="9"/>
        <v>Greenway Goods</v>
      </c>
      <c r="L113" s="4">
        <v>48.14</v>
      </c>
      <c r="M113">
        <v>92.78</v>
      </c>
      <c r="N113" s="4">
        <f t="shared" si="10"/>
        <v>92.78</v>
      </c>
      <c r="O113" s="6">
        <v>206</v>
      </c>
      <c r="P113" s="6">
        <v>10</v>
      </c>
      <c r="Q113" t="s">
        <v>44</v>
      </c>
      <c r="R113" t="str">
        <f t="shared" si="11"/>
        <v>BHM-C3</v>
      </c>
      <c r="S113" s="1">
        <v>45334</v>
      </c>
    </row>
    <row r="114" spans="1:19">
      <c r="A114" t="s">
        <v>392</v>
      </c>
      <c r="B114" t="s">
        <v>393</v>
      </c>
      <c r="C114" t="str">
        <f t="shared" si="6"/>
        <v>EC-ELE-0113</v>
      </c>
      <c r="D114" t="s">
        <v>804</v>
      </c>
      <c r="E114" t="str">
        <f t="shared" si="7"/>
        <v>Nova Supply Studio Laptop Stand</v>
      </c>
      <c r="F114" t="s">
        <v>17</v>
      </c>
      <c r="G114" t="str">
        <f t="shared" si="8"/>
        <v>Electronics</v>
      </c>
      <c r="H114" t="s">
        <v>805</v>
      </c>
      <c r="I114" t="str" cm="1">
        <f t="array" ref="I114">PROPER(IF(TRIM(H114)&lt;&gt;"",TRIM(H114),IFERROR(INDEX('Brand Reference'!$A$2:$A$13,MATCH(TRUE,ISNUMBER(SEARCH('Brand Reference'!$A$2:$A$13,E114)),0)),"Unknown")))</f>
        <v>Nova Supply</v>
      </c>
      <c r="J114" t="s">
        <v>25</v>
      </c>
      <c r="K114" t="str">
        <f t="shared" si="9"/>
        <v>Everwell Supply</v>
      </c>
      <c r="L114" s="4">
        <v>74.040000000000006</v>
      </c>
      <c r="M114">
        <v>138.47999999999999</v>
      </c>
      <c r="N114" s="4">
        <f t="shared" si="10"/>
        <v>138.47999999999999</v>
      </c>
      <c r="O114" s="6">
        <v>61</v>
      </c>
      <c r="P114" s="6">
        <v>25</v>
      </c>
      <c r="Q114" t="s">
        <v>20</v>
      </c>
      <c r="R114" t="str">
        <f t="shared" si="11"/>
        <v>LON-A1</v>
      </c>
      <c r="S114" s="1">
        <v>45541</v>
      </c>
    </row>
    <row r="115" spans="1:19">
      <c r="A115" t="s">
        <v>395</v>
      </c>
      <c r="B115" t="s">
        <v>396</v>
      </c>
      <c r="C115" t="str">
        <f t="shared" si="6"/>
        <v>EC-ACC-0114</v>
      </c>
      <c r="D115" t="s">
        <v>397</v>
      </c>
      <c r="E115" t="str">
        <f t="shared" si="7"/>
        <v>Brightline Eco Backpack</v>
      </c>
      <c r="F115" t="s">
        <v>795</v>
      </c>
      <c r="G115" t="str">
        <f t="shared" si="8"/>
        <v>Accessories</v>
      </c>
      <c r="H115" t="s">
        <v>184</v>
      </c>
      <c r="I115" t="str" cm="1">
        <f t="array" ref="I115">PROPER(IF(TRIM(H115)&lt;&gt;"",TRIM(H115),IFERROR(INDEX('Brand Reference'!$A$2:$A$13,MATCH(TRUE,ISNUMBER(SEARCH('Brand Reference'!$A$2:$A$13,E115)),0)),"Unknown")))</f>
        <v>Brightline</v>
      </c>
      <c r="J115" t="s">
        <v>806</v>
      </c>
      <c r="K115" t="str">
        <f t="shared" si="9"/>
        <v>Ivory Peak Logistics</v>
      </c>
      <c r="L115" s="4">
        <v>19.87</v>
      </c>
      <c r="M115">
        <v>47.7</v>
      </c>
      <c r="N115" s="4">
        <f t="shared" si="10"/>
        <v>47.7</v>
      </c>
      <c r="O115" s="6">
        <v>4</v>
      </c>
      <c r="P115" s="6">
        <v>10</v>
      </c>
      <c r="Q115" t="s">
        <v>44</v>
      </c>
      <c r="R115" t="str">
        <f t="shared" si="11"/>
        <v>BHM-C3</v>
      </c>
      <c r="S115" s="1">
        <v>45370</v>
      </c>
    </row>
    <row r="116" spans="1:19">
      <c r="A116" t="s">
        <v>398</v>
      </c>
      <c r="B116" t="s">
        <v>399</v>
      </c>
      <c r="C116" t="str">
        <f t="shared" si="6"/>
        <v>EC-STA-0115</v>
      </c>
      <c r="D116" t="s">
        <v>400</v>
      </c>
      <c r="E116" t="str">
        <f t="shared" si="7"/>
        <v>Harbour &amp; Hill Eco Ballpoint Pens</v>
      </c>
      <c r="F116" t="s">
        <v>191</v>
      </c>
      <c r="G116" t="str">
        <f t="shared" si="8"/>
        <v>Stationery</v>
      </c>
      <c r="H116" t="s">
        <v>55</v>
      </c>
      <c r="I116" t="str" cm="1">
        <f t="array" ref="I116">PROPER(IF(TRIM(H116)&lt;&gt;"",TRIM(H116),IFERROR(INDEX('Brand Reference'!$A$2:$A$13,MATCH(TRUE,ISNUMBER(SEARCH('Brand Reference'!$A$2:$A$13,E116)),0)),"Unknown")))</f>
        <v>Harbour &amp; Hill</v>
      </c>
      <c r="K116" t="str">
        <f t="shared" si="9"/>
        <v>Unknown</v>
      </c>
      <c r="L116" s="4">
        <v>60.26</v>
      </c>
      <c r="M116">
        <v>101.34</v>
      </c>
      <c r="N116" s="4">
        <f t="shared" si="10"/>
        <v>101.34</v>
      </c>
      <c r="O116" s="6">
        <v>157</v>
      </c>
      <c r="P116" s="6">
        <v>30</v>
      </c>
      <c r="Q116" t="s">
        <v>44</v>
      </c>
      <c r="R116" t="str">
        <f t="shared" si="11"/>
        <v>BHM-C3</v>
      </c>
      <c r="S116" s="1">
        <v>45878</v>
      </c>
    </row>
    <row r="117" spans="1:19">
      <c r="A117" t="s">
        <v>401</v>
      </c>
      <c r="B117" t="s">
        <v>402</v>
      </c>
      <c r="C117" t="str">
        <f t="shared" si="6"/>
        <v>EC-ACC-0116</v>
      </c>
      <c r="D117" t="s">
        <v>403</v>
      </c>
      <c r="E117" t="str">
        <f t="shared" si="7"/>
        <v>Brightline Compact Backpack</v>
      </c>
      <c r="F117" t="s">
        <v>42</v>
      </c>
      <c r="G117" t="str">
        <f t="shared" si="8"/>
        <v>Accessories</v>
      </c>
      <c r="H117" t="s">
        <v>184</v>
      </c>
      <c r="I117" t="str" cm="1">
        <f t="array" ref="I117">PROPER(IF(TRIM(H117)&lt;&gt;"",TRIM(H117),IFERROR(INDEX('Brand Reference'!$A$2:$A$13,MATCH(TRUE,ISNUMBER(SEARCH('Brand Reference'!$A$2:$A$13,E117)),0)),"Unknown")))</f>
        <v>Brightline</v>
      </c>
      <c r="J117" t="s">
        <v>19</v>
      </c>
      <c r="K117" t="str">
        <f t="shared" si="9"/>
        <v>Dovetail Trading Co.</v>
      </c>
      <c r="L117" s="4">
        <v>32.67</v>
      </c>
      <c r="M117">
        <v>51.84</v>
      </c>
      <c r="N117" s="4">
        <f t="shared" si="10"/>
        <v>51.84</v>
      </c>
      <c r="O117" s="6">
        <v>250</v>
      </c>
      <c r="P117" s="6">
        <v>20</v>
      </c>
      <c r="Q117" t="s">
        <v>50</v>
      </c>
      <c r="R117" t="str">
        <f t="shared" si="11"/>
        <v>LDS-B1</v>
      </c>
      <c r="S117" s="1">
        <v>45941</v>
      </c>
    </row>
    <row r="118" spans="1:19">
      <c r="A118" t="s">
        <v>404</v>
      </c>
      <c r="B118" t="s">
        <v>405</v>
      </c>
      <c r="C118" t="str">
        <f t="shared" si="6"/>
        <v>EC-KIT-0117</v>
      </c>
      <c r="D118" t="s">
        <v>807</v>
      </c>
      <c r="E118" t="str">
        <f t="shared" si="7"/>
        <v>Cedar Lane Compact Coffee Grinder</v>
      </c>
      <c r="F118" t="s">
        <v>36</v>
      </c>
      <c r="G118" t="str">
        <f t="shared" si="8"/>
        <v>Kitchen</v>
      </c>
      <c r="H118" t="s">
        <v>789</v>
      </c>
      <c r="I118" t="str" cm="1">
        <f t="array" ref="I118">PROPER(IF(TRIM(H118)&lt;&gt;"",TRIM(H118),IFERROR(INDEX('Brand Reference'!$A$2:$A$13,MATCH(TRUE,ISNUMBER(SEARCH('Brand Reference'!$A$2:$A$13,E118)),0)),"Unknown")))</f>
        <v>Cedar Lane</v>
      </c>
      <c r="J118" t="s">
        <v>32</v>
      </c>
      <c r="K118" t="str">
        <f t="shared" si="9"/>
        <v>Juniper Merchants</v>
      </c>
      <c r="L118" s="4">
        <v>17.649999999999999</v>
      </c>
      <c r="M118">
        <v>32.76</v>
      </c>
      <c r="N118" s="4">
        <f t="shared" si="10"/>
        <v>32.76</v>
      </c>
      <c r="O118" s="6">
        <v>112</v>
      </c>
      <c r="P118" s="6">
        <v>15</v>
      </c>
      <c r="Q118" t="s">
        <v>44</v>
      </c>
      <c r="R118" t="str">
        <f t="shared" si="11"/>
        <v>BHM-C3</v>
      </c>
      <c r="S118" s="1">
        <v>45924</v>
      </c>
    </row>
    <row r="119" spans="1:19">
      <c r="A119" t="s">
        <v>407</v>
      </c>
      <c r="B119" t="s">
        <v>808</v>
      </c>
      <c r="C119" t="str">
        <f t="shared" si="6"/>
        <v>EC-BEA-0118</v>
      </c>
      <c r="D119" t="s">
        <v>409</v>
      </c>
      <c r="E119" t="str">
        <f t="shared" si="7"/>
        <v>Northstar Pro Facial Cleanser</v>
      </c>
      <c r="F119" t="s">
        <v>742</v>
      </c>
      <c r="G119" t="str">
        <f t="shared" si="8"/>
        <v>Beauty</v>
      </c>
      <c r="H119" t="s">
        <v>83</v>
      </c>
      <c r="I119" t="str" cm="1">
        <f t="array" ref="I119">PROPER(IF(TRIM(H119)&lt;&gt;"",TRIM(H119),IFERROR(INDEX('Brand Reference'!$A$2:$A$13,MATCH(TRUE,ISNUMBER(SEARCH('Brand Reference'!$A$2:$A$13,E119)),0)),"Unknown")))</f>
        <v>Northstar</v>
      </c>
      <c r="J119" t="s">
        <v>37</v>
      </c>
      <c r="K119" t="str">
        <f t="shared" si="9"/>
        <v>Greenway Goods</v>
      </c>
      <c r="L119" s="4">
        <v>54.43</v>
      </c>
      <c r="M119">
        <v>90</v>
      </c>
      <c r="N119" s="4">
        <f t="shared" si="10"/>
        <v>90</v>
      </c>
      <c r="O119" s="6">
        <v>237</v>
      </c>
      <c r="P119" s="6">
        <v>25</v>
      </c>
      <c r="Q119" t="s">
        <v>38</v>
      </c>
      <c r="R119" t="str">
        <f t="shared" si="11"/>
        <v>GLA-A2</v>
      </c>
      <c r="S119" s="1">
        <v>45429</v>
      </c>
    </row>
    <row r="120" spans="1:19">
      <c r="A120" t="s">
        <v>410</v>
      </c>
      <c r="B120" t="s">
        <v>411</v>
      </c>
      <c r="C120" t="str">
        <f t="shared" si="6"/>
        <v>EC-ACC-0119</v>
      </c>
      <c r="D120" t="s">
        <v>412</v>
      </c>
      <c r="E120" t="str">
        <f t="shared" si="7"/>
        <v>Kindred Mini Backpack - Charcoal</v>
      </c>
      <c r="F120" t="s">
        <v>42</v>
      </c>
      <c r="G120" t="str">
        <f t="shared" si="8"/>
        <v>Accessories</v>
      </c>
      <c r="H120" t="s">
        <v>31</v>
      </c>
      <c r="I120" t="str" cm="1">
        <f t="array" ref="I120">PROPER(IF(TRIM(H120)&lt;&gt;"",TRIM(H120),IFERROR(INDEX('Brand Reference'!$A$2:$A$13,MATCH(TRUE,ISNUMBER(SEARCH('Brand Reference'!$A$2:$A$13,E120)),0)),"Unknown")))</f>
        <v>Kindred</v>
      </c>
      <c r="J120" t="s">
        <v>159</v>
      </c>
      <c r="K120" t="str">
        <f t="shared" si="9"/>
        <v>Foxbridge Partners</v>
      </c>
      <c r="L120" s="4">
        <v>60.08</v>
      </c>
      <c r="M120">
        <v>99.62</v>
      </c>
      <c r="N120" s="4">
        <f t="shared" si="10"/>
        <v>99.62</v>
      </c>
      <c r="O120" s="6">
        <v>28</v>
      </c>
      <c r="P120" s="6">
        <v>12</v>
      </c>
      <c r="Q120" t="s">
        <v>38</v>
      </c>
      <c r="R120" t="str">
        <f t="shared" si="11"/>
        <v>GLA-A2</v>
      </c>
      <c r="S120" s="1">
        <v>45798</v>
      </c>
    </row>
    <row r="121" spans="1:19">
      <c r="A121" t="s">
        <v>413</v>
      </c>
      <c r="B121" t="s">
        <v>809</v>
      </c>
      <c r="C121" t="str">
        <f t="shared" si="6"/>
        <v>EC-APP-0120</v>
      </c>
      <c r="D121" t="s">
        <v>415</v>
      </c>
      <c r="E121" t="str">
        <f t="shared" si="7"/>
        <v>Oak &amp; Ember Studio Cotton T-Shirt - Sage</v>
      </c>
      <c r="F121" t="s">
        <v>810</v>
      </c>
      <c r="G121" t="str">
        <f t="shared" si="8"/>
        <v>Apparel</v>
      </c>
      <c r="H121" t="s">
        <v>64</v>
      </c>
      <c r="I121" t="str" cm="1">
        <f t="array" ref="I121">PROPER(IF(TRIM(H121)&lt;&gt;"",TRIM(H121),IFERROR(INDEX('Brand Reference'!$A$2:$A$13,MATCH(TRUE,ISNUMBER(SEARCH('Brand Reference'!$A$2:$A$13,E121)),0)),"Unknown")))</f>
        <v>Oak &amp; Ember</v>
      </c>
      <c r="J121" t="s">
        <v>74</v>
      </c>
      <c r="K121" t="str">
        <f t="shared" si="9"/>
        <v>Harbour Stockists</v>
      </c>
      <c r="L121" s="4">
        <v>25.66</v>
      </c>
      <c r="M121">
        <v>39.450000000000003</v>
      </c>
      <c r="N121" s="4">
        <f t="shared" si="10"/>
        <v>39.450000000000003</v>
      </c>
      <c r="O121" s="6">
        <v>140</v>
      </c>
      <c r="P121" s="6">
        <v>40</v>
      </c>
      <c r="Q121" t="s">
        <v>38</v>
      </c>
      <c r="R121" t="str">
        <f t="shared" si="11"/>
        <v>GLA-A2</v>
      </c>
      <c r="S121" s="1">
        <v>45862</v>
      </c>
    </row>
    <row r="122" spans="1:19">
      <c r="A122" t="s">
        <v>416</v>
      </c>
      <c r="B122" t="s">
        <v>417</v>
      </c>
      <c r="C122" t="str">
        <f t="shared" si="6"/>
        <v>EC-ELE-0121</v>
      </c>
      <c r="D122" t="s">
        <v>418</v>
      </c>
      <c r="E122" t="str">
        <f t="shared" si="7"/>
        <v>Cedar Lane Premium Mechanical Keyboard</v>
      </c>
      <c r="F122" t="s">
        <v>17</v>
      </c>
      <c r="G122" t="str">
        <f t="shared" si="8"/>
        <v>Electronics</v>
      </c>
      <c r="H122" t="s">
        <v>146</v>
      </c>
      <c r="I122" t="str" cm="1">
        <f t="array" ref="I122">PROPER(IF(TRIM(H122)&lt;&gt;"",TRIM(H122),IFERROR(INDEX('Brand Reference'!$A$2:$A$13,MATCH(TRUE,ISNUMBER(SEARCH('Brand Reference'!$A$2:$A$13,E122)),0)),"Unknown")))</f>
        <v>Cedar Lane</v>
      </c>
      <c r="J122" t="s">
        <v>49</v>
      </c>
      <c r="K122" t="str">
        <f t="shared" si="9"/>
        <v>Ivory Peak Logistics</v>
      </c>
      <c r="L122" s="4">
        <v>35.119999999999997</v>
      </c>
      <c r="M122">
        <v>54.34</v>
      </c>
      <c r="N122" s="4">
        <f t="shared" si="10"/>
        <v>54.34</v>
      </c>
      <c r="O122" s="6">
        <v>47</v>
      </c>
      <c r="P122" s="6">
        <v>25</v>
      </c>
      <c r="Q122" t="s">
        <v>50</v>
      </c>
      <c r="R122" t="str">
        <f t="shared" si="11"/>
        <v>LDS-B1</v>
      </c>
      <c r="S122" s="1">
        <v>46119</v>
      </c>
    </row>
    <row r="123" spans="1:19">
      <c r="A123" t="s">
        <v>419</v>
      </c>
      <c r="B123" t="s">
        <v>420</v>
      </c>
      <c r="C123" t="str">
        <f t="shared" si="6"/>
        <v>EC-GAR-0122</v>
      </c>
      <c r="D123" t="s">
        <v>421</v>
      </c>
      <c r="E123" t="str">
        <f t="shared" si="7"/>
        <v>Northstar Compact Plant Pot</v>
      </c>
      <c r="F123" t="s">
        <v>73</v>
      </c>
      <c r="G123" t="str">
        <f t="shared" si="8"/>
        <v>Garden</v>
      </c>
      <c r="H123" t="s">
        <v>83</v>
      </c>
      <c r="I123" t="str" cm="1">
        <f t="array" ref="I123">PROPER(IF(TRIM(H123)&lt;&gt;"",TRIM(H123),IFERROR(INDEX('Brand Reference'!$A$2:$A$13,MATCH(TRUE,ISNUMBER(SEARCH('Brand Reference'!$A$2:$A$13,E123)),0)),"Unknown")))</f>
        <v>Northstar</v>
      </c>
      <c r="J123" t="s">
        <v>101</v>
      </c>
      <c r="K123" t="str">
        <f t="shared" si="9"/>
        <v>Aster Wholesale Ltd</v>
      </c>
      <c r="L123" s="4">
        <v>83.36</v>
      </c>
      <c r="M123">
        <v>116.47</v>
      </c>
      <c r="N123" s="4">
        <f t="shared" si="10"/>
        <v>116.47</v>
      </c>
      <c r="O123" s="6">
        <v>160</v>
      </c>
      <c r="P123" s="6">
        <v>12</v>
      </c>
      <c r="Q123" t="s">
        <v>44</v>
      </c>
      <c r="R123" t="str">
        <f t="shared" si="11"/>
        <v>BHM-C3</v>
      </c>
      <c r="S123" s="1">
        <v>45330</v>
      </c>
    </row>
    <row r="124" spans="1:19">
      <c r="A124" t="s">
        <v>422</v>
      </c>
      <c r="B124" t="s">
        <v>423</v>
      </c>
      <c r="C124" t="str">
        <f t="shared" si="6"/>
        <v>EC-ELE-0123</v>
      </c>
      <c r="D124" t="s">
        <v>424</v>
      </c>
      <c r="E124" t="str">
        <f t="shared" si="7"/>
        <v>Kite &amp; Key Compact USB-C Hub</v>
      </c>
      <c r="F124" t="s">
        <v>17</v>
      </c>
      <c r="G124" t="str">
        <f t="shared" si="8"/>
        <v>Electronics</v>
      </c>
      <c r="H124" t="s">
        <v>43</v>
      </c>
      <c r="I124" t="str" cm="1">
        <f t="array" ref="I124">PROPER(IF(TRIM(H124)&lt;&gt;"",TRIM(H124),IFERROR(INDEX('Brand Reference'!$A$2:$A$13,MATCH(TRUE,ISNUMBER(SEARCH('Brand Reference'!$A$2:$A$13,E124)),0)),"Unknown")))</f>
        <v>Kite &amp; Key</v>
      </c>
      <c r="J124" t="s">
        <v>19</v>
      </c>
      <c r="K124" t="str">
        <f t="shared" si="9"/>
        <v>Dovetail Trading Co.</v>
      </c>
      <c r="L124" s="4">
        <v>18.66</v>
      </c>
      <c r="M124">
        <v>41.69</v>
      </c>
      <c r="N124" s="4">
        <f t="shared" si="10"/>
        <v>41.69</v>
      </c>
      <c r="O124" s="6">
        <v>79</v>
      </c>
      <c r="P124" s="6">
        <v>40</v>
      </c>
      <c r="Q124" t="s">
        <v>20</v>
      </c>
      <c r="R124" t="str">
        <f t="shared" si="11"/>
        <v>LON-A1</v>
      </c>
      <c r="S124" s="1">
        <v>45703</v>
      </c>
    </row>
    <row r="125" spans="1:19">
      <c r="A125" t="s">
        <v>425</v>
      </c>
      <c r="B125" t="s">
        <v>426</v>
      </c>
      <c r="C125" t="str">
        <f t="shared" si="6"/>
        <v>EC-ACC-0124</v>
      </c>
      <c r="D125" t="s">
        <v>427</v>
      </c>
      <c r="E125" t="str">
        <f t="shared" si="7"/>
        <v>Northstar Everyday Sunglasses</v>
      </c>
      <c r="F125" t="s">
        <v>42</v>
      </c>
      <c r="G125" t="str">
        <f t="shared" si="8"/>
        <v>Accessories</v>
      </c>
      <c r="H125" t="s">
        <v>83</v>
      </c>
      <c r="I125" t="str" cm="1">
        <f t="array" ref="I125">PROPER(IF(TRIM(H125)&lt;&gt;"",TRIM(H125),IFERROR(INDEX('Brand Reference'!$A$2:$A$13,MATCH(TRUE,ISNUMBER(SEARCH('Brand Reference'!$A$2:$A$13,E125)),0)),"Unknown")))</f>
        <v>Northstar</v>
      </c>
      <c r="J125" t="s">
        <v>59</v>
      </c>
      <c r="K125" t="str">
        <f t="shared" si="9"/>
        <v>Bluegate Distribution</v>
      </c>
      <c r="L125" s="4">
        <v>83.79</v>
      </c>
      <c r="M125">
        <v>157.12</v>
      </c>
      <c r="N125" s="4">
        <f t="shared" si="10"/>
        <v>157.12</v>
      </c>
      <c r="O125" s="6">
        <v>49</v>
      </c>
      <c r="P125" s="6">
        <v>30</v>
      </c>
      <c r="Q125" t="s">
        <v>20</v>
      </c>
      <c r="R125" t="str">
        <f t="shared" si="11"/>
        <v>LON-A1</v>
      </c>
      <c r="S125" s="1">
        <v>46110</v>
      </c>
    </row>
    <row r="126" spans="1:19">
      <c r="A126" t="s">
        <v>428</v>
      </c>
      <c r="B126" t="s">
        <v>429</v>
      </c>
      <c r="C126" t="str">
        <f t="shared" si="6"/>
        <v>EC-ACC-0125</v>
      </c>
      <c r="D126" t="s">
        <v>430</v>
      </c>
      <c r="E126" t="str">
        <f t="shared" si="7"/>
        <v>Brightline Mini Phone Case - White</v>
      </c>
      <c r="F126" t="s">
        <v>42</v>
      </c>
      <c r="G126" t="str">
        <f t="shared" si="8"/>
        <v>Accessories</v>
      </c>
      <c r="H126" t="s">
        <v>184</v>
      </c>
      <c r="I126" t="str" cm="1">
        <f t="array" ref="I126">PROPER(IF(TRIM(H126)&lt;&gt;"",TRIM(H126),IFERROR(INDEX('Brand Reference'!$A$2:$A$13,MATCH(TRUE,ISNUMBER(SEARCH('Brand Reference'!$A$2:$A$13,E126)),0)),"Unknown")))</f>
        <v>Brightline</v>
      </c>
      <c r="J126" t="s">
        <v>769</v>
      </c>
      <c r="K126" t="str">
        <f t="shared" si="9"/>
        <v>Everwell Supply</v>
      </c>
      <c r="L126" s="4">
        <v>17.579999999999998</v>
      </c>
      <c r="M126">
        <v>28.48</v>
      </c>
      <c r="N126" s="4">
        <f t="shared" si="10"/>
        <v>28.48</v>
      </c>
      <c r="O126" s="6">
        <v>123</v>
      </c>
      <c r="P126" s="6">
        <v>5</v>
      </c>
      <c r="Q126" t="s">
        <v>20</v>
      </c>
      <c r="R126" t="str">
        <f t="shared" si="11"/>
        <v>LON-A1</v>
      </c>
      <c r="S126" s="1">
        <v>45393</v>
      </c>
    </row>
    <row r="127" spans="1:19">
      <c r="A127" t="s">
        <v>431</v>
      </c>
      <c r="B127" t="s">
        <v>432</v>
      </c>
      <c r="C127" t="str">
        <f t="shared" si="6"/>
        <v>EC-HOM-0126</v>
      </c>
      <c r="D127" t="s">
        <v>433</v>
      </c>
      <c r="E127" t="str">
        <f t="shared" si="7"/>
        <v>Northstar Classic Water Bottle - Sage</v>
      </c>
      <c r="F127" t="s">
        <v>30</v>
      </c>
      <c r="G127" t="str">
        <f t="shared" si="8"/>
        <v>Home &amp; Office</v>
      </c>
      <c r="H127" t="s">
        <v>83</v>
      </c>
      <c r="I127" t="str" cm="1">
        <f t="array" ref="I127">PROPER(IF(TRIM(H127)&lt;&gt;"",TRIM(H127),IFERROR(INDEX('Brand Reference'!$A$2:$A$13,MATCH(TRUE,ISNUMBER(SEARCH('Brand Reference'!$A$2:$A$13,E127)),0)),"Unknown")))</f>
        <v>Northstar</v>
      </c>
      <c r="J127" t="s">
        <v>59</v>
      </c>
      <c r="K127" t="str">
        <f t="shared" si="9"/>
        <v>Bluegate Distribution</v>
      </c>
      <c r="L127" s="4">
        <v>18.5</v>
      </c>
      <c r="M127" t="s">
        <v>811</v>
      </c>
      <c r="N127" s="4">
        <f t="shared" si="10"/>
        <v>33.99</v>
      </c>
      <c r="O127" s="6">
        <v>44</v>
      </c>
      <c r="P127" s="6">
        <v>30</v>
      </c>
      <c r="Q127" t="s">
        <v>26</v>
      </c>
      <c r="R127" t="str">
        <f t="shared" si="11"/>
        <v>MAN-A1</v>
      </c>
      <c r="S127" s="1">
        <v>46300</v>
      </c>
    </row>
    <row r="128" spans="1:19">
      <c r="A128" t="s">
        <v>434</v>
      </c>
      <c r="B128" t="s">
        <v>435</v>
      </c>
      <c r="C128" t="str">
        <f t="shared" si="6"/>
        <v>EC-STA-0127</v>
      </c>
      <c r="D128" t="s">
        <v>436</v>
      </c>
      <c r="E128" t="str">
        <f t="shared" si="7"/>
        <v>Kite &amp; Key Everyday Ballpoint Pens - Black</v>
      </c>
      <c r="F128" t="s">
        <v>812</v>
      </c>
      <c r="G128" t="str">
        <f t="shared" si="8"/>
        <v>Stationery</v>
      </c>
      <c r="H128" t="s">
        <v>43</v>
      </c>
      <c r="I128" t="str" cm="1">
        <f t="array" ref="I128">PROPER(IF(TRIM(H128)&lt;&gt;"",TRIM(H128),IFERROR(INDEX('Brand Reference'!$A$2:$A$13,MATCH(TRUE,ISNUMBER(SEARCH('Brand Reference'!$A$2:$A$13,E128)),0)),"Unknown")))</f>
        <v>Kite &amp; Key</v>
      </c>
      <c r="J128" t="s">
        <v>32</v>
      </c>
      <c r="K128" t="str">
        <f t="shared" si="9"/>
        <v>Juniper Merchants</v>
      </c>
      <c r="L128" s="4">
        <v>84.86</v>
      </c>
      <c r="M128">
        <v>153.63999999999999</v>
      </c>
      <c r="N128" s="4">
        <f t="shared" si="10"/>
        <v>153.63999999999999</v>
      </c>
      <c r="O128" s="6">
        <v>21</v>
      </c>
      <c r="P128" s="6">
        <v>10</v>
      </c>
      <c r="Q128" t="s">
        <v>758</v>
      </c>
      <c r="R128" t="str">
        <f t="shared" si="11"/>
        <v>BHM-C3</v>
      </c>
      <c r="S128" s="1">
        <v>45598</v>
      </c>
    </row>
    <row r="129" spans="1:19">
      <c r="A129" t="s">
        <v>437</v>
      </c>
      <c r="B129" t="s">
        <v>438</v>
      </c>
      <c r="C129" t="str">
        <f t="shared" si="6"/>
        <v>EC-ELE-0128</v>
      </c>
      <c r="D129" t="s">
        <v>813</v>
      </c>
      <c r="E129" t="str">
        <f t="shared" si="7"/>
        <v>PixelWorks Essential USB-C Hub</v>
      </c>
      <c r="F129" t="s">
        <v>17</v>
      </c>
      <c r="G129" t="str">
        <f t="shared" si="8"/>
        <v>Electronics</v>
      </c>
      <c r="H129" t="s">
        <v>735</v>
      </c>
      <c r="I129" t="str" cm="1">
        <f t="array" ref="I129">PROPER(IF(TRIM(H129)&lt;&gt;"",TRIM(H129),IFERROR(INDEX('Brand Reference'!$A$2:$A$13,MATCH(TRUE,ISNUMBER(SEARCH('Brand Reference'!$A$2:$A$13,E129)),0)),"Unknown")))</f>
        <v>Pixelworks</v>
      </c>
      <c r="J129" t="s">
        <v>19</v>
      </c>
      <c r="K129" t="str">
        <f t="shared" si="9"/>
        <v>Dovetail Trading Co.</v>
      </c>
      <c r="L129" s="4">
        <v>50.6</v>
      </c>
      <c r="M129">
        <v>102.76</v>
      </c>
      <c r="N129" s="4">
        <f t="shared" si="10"/>
        <v>102.76</v>
      </c>
      <c r="O129" s="6">
        <v>104</v>
      </c>
      <c r="P129" s="6">
        <v>10</v>
      </c>
      <c r="Q129" t="s">
        <v>44</v>
      </c>
      <c r="R129" t="str">
        <f t="shared" si="11"/>
        <v>BHM-C3</v>
      </c>
      <c r="S129" s="1">
        <v>45681</v>
      </c>
    </row>
    <row r="130" spans="1:19">
      <c r="A130" t="s">
        <v>440</v>
      </c>
      <c r="B130" t="s">
        <v>441</v>
      </c>
      <c r="C130" t="str">
        <f t="shared" ref="C130:C193" si="12">UPPER(TRIM(B130))</f>
        <v>EC-ELE-0129</v>
      </c>
      <c r="D130" t="s">
        <v>442</v>
      </c>
      <c r="E130" t="str">
        <f t="shared" ref="E130:E193" si="13">TRIM(D130)</f>
        <v>Morrow Eco Power Bank</v>
      </c>
      <c r="F130" t="s">
        <v>763</v>
      </c>
      <c r="G130" t="str">
        <f t="shared" ref="G130:G193" si="14">PROPER(TRIM(F130))</f>
        <v>Electronics</v>
      </c>
      <c r="H130" t="s">
        <v>48</v>
      </c>
      <c r="I130" t="str" cm="1">
        <f t="array" ref="I130">PROPER(IF(TRIM(H130)&lt;&gt;"",TRIM(H130),IFERROR(INDEX('Brand Reference'!$A$2:$A$13,MATCH(TRUE,ISNUMBER(SEARCH('Brand Reference'!$A$2:$A$13,E130)),0)),"Unknown")))</f>
        <v>Morrow</v>
      </c>
      <c r="K130" t="str">
        <f t="shared" ref="K130:K193" si="15">IF(J130="","Unknown",TRIM(PROPER(J130)))</f>
        <v>Unknown</v>
      </c>
      <c r="L130" s="4">
        <v>12.38</v>
      </c>
      <c r="M130">
        <v>24.31</v>
      </c>
      <c r="N130" s="4">
        <f t="shared" ref="N130:N193" si="16">VALUE(SUBSTITUTE(M130," GBP",""))</f>
        <v>24.31</v>
      </c>
      <c r="O130" s="6">
        <v>61</v>
      </c>
      <c r="P130" s="6">
        <v>12</v>
      </c>
      <c r="Q130" t="s">
        <v>44</v>
      </c>
      <c r="R130" t="str">
        <f t="shared" ref="R130:R193" si="17">UPPER(TRIM(Q130))</f>
        <v>BHM-C3</v>
      </c>
      <c r="S130" s="1">
        <v>45509</v>
      </c>
    </row>
    <row r="131" spans="1:19">
      <c r="A131" t="s">
        <v>443</v>
      </c>
      <c r="B131" t="s">
        <v>444</v>
      </c>
      <c r="C131" t="str">
        <f t="shared" si="12"/>
        <v>EC-ACC-0130</v>
      </c>
      <c r="D131" t="s">
        <v>445</v>
      </c>
      <c r="E131" t="str">
        <f t="shared" si="13"/>
        <v>Morrow Mini Phone Case</v>
      </c>
      <c r="F131" t="s">
        <v>42</v>
      </c>
      <c r="G131" t="str">
        <f t="shared" si="14"/>
        <v>Accessories</v>
      </c>
      <c r="H131" t="s">
        <v>48</v>
      </c>
      <c r="I131" t="str" cm="1">
        <f t="array" ref="I131">PROPER(IF(TRIM(H131)&lt;&gt;"",TRIM(H131),IFERROR(INDEX('Brand Reference'!$A$2:$A$13,MATCH(TRUE,ISNUMBER(SEARCH('Brand Reference'!$A$2:$A$13,E131)),0)),"Unknown")))</f>
        <v>Morrow</v>
      </c>
      <c r="J131" t="s">
        <v>59</v>
      </c>
      <c r="K131" t="str">
        <f t="shared" si="15"/>
        <v>Bluegate Distribution</v>
      </c>
      <c r="L131" s="4">
        <v>77.06</v>
      </c>
      <c r="M131">
        <v>108.82</v>
      </c>
      <c r="N131" s="4">
        <f t="shared" si="16"/>
        <v>108.82</v>
      </c>
      <c r="O131" s="6">
        <v>202</v>
      </c>
      <c r="P131" s="6">
        <v>15</v>
      </c>
      <c r="Q131" t="s">
        <v>44</v>
      </c>
      <c r="R131" t="str">
        <f t="shared" si="17"/>
        <v>BHM-C3</v>
      </c>
      <c r="S131" s="1">
        <v>45967</v>
      </c>
    </row>
    <row r="132" spans="1:19">
      <c r="A132" t="s">
        <v>446</v>
      </c>
      <c r="B132" t="s">
        <v>447</v>
      </c>
      <c r="C132" t="str">
        <f t="shared" si="12"/>
        <v>EC-ACC-0131</v>
      </c>
      <c r="D132" t="s">
        <v>448</v>
      </c>
      <c r="E132" t="str">
        <f t="shared" si="13"/>
        <v>Cedar Lane Premium Screen Protector</v>
      </c>
      <c r="F132" t="s">
        <v>42</v>
      </c>
      <c r="G132" t="str">
        <f t="shared" si="14"/>
        <v>Accessories</v>
      </c>
      <c r="H132" t="s">
        <v>146</v>
      </c>
      <c r="I132" t="str" cm="1">
        <f t="array" ref="I132">PROPER(IF(TRIM(H132)&lt;&gt;"",TRIM(H132),IFERROR(INDEX('Brand Reference'!$A$2:$A$13,MATCH(TRUE,ISNUMBER(SEARCH('Brand Reference'!$A$2:$A$13,E132)),0)),"Unknown")))</f>
        <v>Cedar Lane</v>
      </c>
      <c r="J132" t="s">
        <v>59</v>
      </c>
      <c r="K132" t="str">
        <f t="shared" si="15"/>
        <v>Bluegate Distribution</v>
      </c>
      <c r="L132" s="4">
        <v>18.420000000000002</v>
      </c>
      <c r="M132">
        <v>35.99</v>
      </c>
      <c r="N132" s="4">
        <f t="shared" si="16"/>
        <v>35.99</v>
      </c>
      <c r="O132" s="6">
        <v>46</v>
      </c>
      <c r="P132" s="6">
        <v>12</v>
      </c>
      <c r="Q132" t="s">
        <v>44</v>
      </c>
      <c r="R132" t="str">
        <f t="shared" si="17"/>
        <v>BHM-C3</v>
      </c>
      <c r="S132" s="1">
        <v>45837</v>
      </c>
    </row>
    <row r="133" spans="1:19">
      <c r="A133" t="s">
        <v>449</v>
      </c>
      <c r="B133" t="s">
        <v>450</v>
      </c>
      <c r="C133" t="str">
        <f t="shared" si="12"/>
        <v>EC-STA-0132</v>
      </c>
      <c r="D133" t="s">
        <v>451</v>
      </c>
      <c r="E133" t="str">
        <f t="shared" si="13"/>
        <v>Harbour &amp; Hill Pro Notebook Set</v>
      </c>
      <c r="F133" t="s">
        <v>812</v>
      </c>
      <c r="G133" t="str">
        <f t="shared" si="14"/>
        <v>Stationery</v>
      </c>
      <c r="H133" t="s">
        <v>55</v>
      </c>
      <c r="I133" t="str" cm="1">
        <f t="array" ref="I133">PROPER(IF(TRIM(H133)&lt;&gt;"",TRIM(H133),IFERROR(INDEX('Brand Reference'!$A$2:$A$13,MATCH(TRUE,ISNUMBER(SEARCH('Brand Reference'!$A$2:$A$13,E133)),0)),"Unknown")))</f>
        <v>Harbour &amp; Hill</v>
      </c>
      <c r="J133" t="s">
        <v>32</v>
      </c>
      <c r="K133" t="str">
        <f t="shared" si="15"/>
        <v>Juniper Merchants</v>
      </c>
      <c r="L133" s="4">
        <v>64.25</v>
      </c>
      <c r="M133">
        <v>115.48</v>
      </c>
      <c r="N133" s="4">
        <f t="shared" si="16"/>
        <v>115.48</v>
      </c>
      <c r="O133" s="6">
        <v>77</v>
      </c>
      <c r="P133" s="6">
        <v>12</v>
      </c>
      <c r="Q133" t="s">
        <v>814</v>
      </c>
      <c r="R133" t="str">
        <f t="shared" si="17"/>
        <v>LON-B2</v>
      </c>
      <c r="S133" s="1">
        <v>45342</v>
      </c>
    </row>
    <row r="134" spans="1:19">
      <c r="A134" t="s">
        <v>452</v>
      </c>
      <c r="B134" t="s">
        <v>453</v>
      </c>
      <c r="C134" t="str">
        <f t="shared" si="12"/>
        <v>EC-PET-0133</v>
      </c>
      <c r="D134" t="s">
        <v>815</v>
      </c>
      <c r="E134" t="str">
        <f t="shared" si="13"/>
        <v>Kindred Plus Cat Toy</v>
      </c>
      <c r="F134" t="s">
        <v>63</v>
      </c>
      <c r="G134" t="str">
        <f t="shared" si="14"/>
        <v>Pet Supplies</v>
      </c>
      <c r="H134" t="s">
        <v>31</v>
      </c>
      <c r="I134" t="str" cm="1">
        <f t="array" ref="I134">PROPER(IF(TRIM(H134)&lt;&gt;"",TRIM(H134),IFERROR(INDEX('Brand Reference'!$A$2:$A$13,MATCH(TRUE,ISNUMBER(SEARCH('Brand Reference'!$A$2:$A$13,E134)),0)),"Unknown")))</f>
        <v>Kindred</v>
      </c>
      <c r="J134" t="s">
        <v>37</v>
      </c>
      <c r="K134" t="str">
        <f t="shared" si="15"/>
        <v>Greenway Goods</v>
      </c>
      <c r="L134" s="4">
        <v>27.88</v>
      </c>
      <c r="M134">
        <v>57</v>
      </c>
      <c r="N134" s="4">
        <f t="shared" si="16"/>
        <v>57</v>
      </c>
      <c r="O134" s="6">
        <v>13</v>
      </c>
      <c r="P134" s="6">
        <v>20</v>
      </c>
      <c r="Q134" t="s">
        <v>97</v>
      </c>
      <c r="R134" t="str">
        <f t="shared" si="17"/>
        <v>LON-B2</v>
      </c>
      <c r="S134" s="1">
        <v>45570</v>
      </c>
    </row>
    <row r="135" spans="1:19">
      <c r="A135" t="s">
        <v>455</v>
      </c>
      <c r="B135" t="s">
        <v>456</v>
      </c>
      <c r="C135" t="str">
        <f t="shared" si="12"/>
        <v>EC-APP-0134</v>
      </c>
      <c r="D135" t="s">
        <v>457</v>
      </c>
      <c r="E135" t="str">
        <f t="shared" si="13"/>
        <v>Morrow Plus Cotton T-Shirt</v>
      </c>
      <c r="F135" t="s">
        <v>198</v>
      </c>
      <c r="G135" t="str">
        <f t="shared" si="14"/>
        <v>Apparel</v>
      </c>
      <c r="H135" t="s">
        <v>48</v>
      </c>
      <c r="I135" t="str" cm="1">
        <f t="array" ref="I135">PROPER(IF(TRIM(H135)&lt;&gt;"",TRIM(H135),IFERROR(INDEX('Brand Reference'!$A$2:$A$13,MATCH(TRUE,ISNUMBER(SEARCH('Brand Reference'!$A$2:$A$13,E135)),0)),"Unknown")))</f>
        <v>Morrow</v>
      </c>
      <c r="J135" t="s">
        <v>101</v>
      </c>
      <c r="K135" t="str">
        <f t="shared" si="15"/>
        <v>Aster Wholesale Ltd</v>
      </c>
      <c r="L135" s="4">
        <v>58.73</v>
      </c>
      <c r="M135">
        <v>117.65</v>
      </c>
      <c r="N135" s="4">
        <f t="shared" si="16"/>
        <v>117.65</v>
      </c>
      <c r="O135" s="6">
        <v>186</v>
      </c>
      <c r="P135" s="6">
        <v>5</v>
      </c>
      <c r="Q135" t="s">
        <v>50</v>
      </c>
      <c r="R135" t="str">
        <f t="shared" si="17"/>
        <v>LDS-B1</v>
      </c>
      <c r="S135" s="1">
        <v>46074</v>
      </c>
    </row>
    <row r="136" spans="1:19">
      <c r="A136" t="s">
        <v>458</v>
      </c>
      <c r="B136" t="s">
        <v>459</v>
      </c>
      <c r="C136" t="str">
        <f t="shared" si="12"/>
        <v>EC-GAR-0135</v>
      </c>
      <c r="D136" t="s">
        <v>460</v>
      </c>
      <c r="E136" t="str">
        <f t="shared" si="13"/>
        <v>Cedar Lane Studio Garden Gloves</v>
      </c>
      <c r="F136" t="s">
        <v>73</v>
      </c>
      <c r="G136" t="str">
        <f t="shared" si="14"/>
        <v>Garden</v>
      </c>
      <c r="H136" t="s">
        <v>146</v>
      </c>
      <c r="I136" t="str" cm="1">
        <f t="array" ref="I136">PROPER(IF(TRIM(H136)&lt;&gt;"",TRIM(H136),IFERROR(INDEX('Brand Reference'!$A$2:$A$13,MATCH(TRUE,ISNUMBER(SEARCH('Brand Reference'!$A$2:$A$13,E136)),0)),"Unknown")))</f>
        <v>Cedar Lane</v>
      </c>
      <c r="J136" t="s">
        <v>19</v>
      </c>
      <c r="K136" t="str">
        <f t="shared" si="15"/>
        <v>Dovetail Trading Co.</v>
      </c>
      <c r="L136" s="4">
        <v>26.93</v>
      </c>
      <c r="M136">
        <v>45.62</v>
      </c>
      <c r="N136" s="4">
        <f t="shared" si="16"/>
        <v>45.62</v>
      </c>
      <c r="O136" s="6">
        <v>236</v>
      </c>
      <c r="P136" s="6">
        <v>5</v>
      </c>
      <c r="Q136" t="s">
        <v>97</v>
      </c>
      <c r="R136" t="str">
        <f t="shared" si="17"/>
        <v>LON-B2</v>
      </c>
      <c r="S136" s="1">
        <v>45507</v>
      </c>
    </row>
    <row r="137" spans="1:19">
      <c r="A137" t="s">
        <v>461</v>
      </c>
      <c r="B137" t="s">
        <v>462</v>
      </c>
      <c r="C137" t="str">
        <f t="shared" si="12"/>
        <v>EC-HOM-0136</v>
      </c>
      <c r="D137" t="s">
        <v>463</v>
      </c>
      <c r="E137" t="str">
        <f t="shared" si="13"/>
        <v>PixelWorks Premium Desk Lamp</v>
      </c>
      <c r="F137" t="s">
        <v>30</v>
      </c>
      <c r="G137" t="str">
        <f t="shared" si="14"/>
        <v>Home &amp; Office</v>
      </c>
      <c r="H137" t="s">
        <v>738</v>
      </c>
      <c r="I137" t="str" cm="1">
        <f t="array" ref="I137">PROPER(IF(TRIM(H137)&lt;&gt;"",TRIM(H137),IFERROR(INDEX('Brand Reference'!$A$2:$A$13,MATCH(TRUE,ISNUMBER(SEARCH('Brand Reference'!$A$2:$A$13,E137)),0)),"Unknown")))</f>
        <v>Pixelworks</v>
      </c>
      <c r="J137" t="s">
        <v>74</v>
      </c>
      <c r="K137" t="str">
        <f t="shared" si="15"/>
        <v>Harbour Stockists</v>
      </c>
      <c r="L137" s="4">
        <v>75.78</v>
      </c>
      <c r="M137">
        <v>138.74</v>
      </c>
      <c r="N137" s="4">
        <f t="shared" si="16"/>
        <v>138.74</v>
      </c>
      <c r="O137" s="6">
        <v>99</v>
      </c>
      <c r="P137" s="6">
        <v>40</v>
      </c>
      <c r="Q137" t="s">
        <v>44</v>
      </c>
      <c r="R137" t="str">
        <f t="shared" si="17"/>
        <v>BHM-C3</v>
      </c>
      <c r="S137" s="1">
        <v>45579</v>
      </c>
    </row>
    <row r="138" spans="1:19">
      <c r="A138" t="s">
        <v>464</v>
      </c>
      <c r="B138" t="s">
        <v>465</v>
      </c>
      <c r="C138" t="str">
        <f t="shared" si="12"/>
        <v>EC-ELE-0137</v>
      </c>
      <c r="D138" t="s">
        <v>816</v>
      </c>
      <c r="E138" t="str">
        <f t="shared" si="13"/>
        <v>Nova Supply Travel Bluetooth Speaker - Navy</v>
      </c>
      <c r="F138" t="s">
        <v>17</v>
      </c>
      <c r="G138" t="str">
        <f t="shared" si="14"/>
        <v>Electronics</v>
      </c>
      <c r="H138" t="s">
        <v>121</v>
      </c>
      <c r="I138" t="str" cm="1">
        <f t="array" ref="I138">PROPER(IF(TRIM(H138)&lt;&gt;"",TRIM(H138),IFERROR(INDEX('Brand Reference'!$A$2:$A$13,MATCH(TRUE,ISNUMBER(SEARCH('Brand Reference'!$A$2:$A$13,E138)),0)),"Unknown")))</f>
        <v>Nova Supply</v>
      </c>
      <c r="J138" t="s">
        <v>19</v>
      </c>
      <c r="K138" t="str">
        <f t="shared" si="15"/>
        <v>Dovetail Trading Co.</v>
      </c>
      <c r="L138" s="4">
        <v>73.03</v>
      </c>
      <c r="M138">
        <v>130.94999999999999</v>
      </c>
      <c r="N138" s="4">
        <f t="shared" si="16"/>
        <v>130.94999999999999</v>
      </c>
      <c r="O138" s="6">
        <v>55</v>
      </c>
      <c r="P138" s="6">
        <v>12</v>
      </c>
      <c r="Q138" t="s">
        <v>38</v>
      </c>
      <c r="R138" t="str">
        <f t="shared" si="17"/>
        <v>GLA-A2</v>
      </c>
      <c r="S138" s="1">
        <v>45484</v>
      </c>
    </row>
    <row r="139" spans="1:19">
      <c r="A139" t="s">
        <v>467</v>
      </c>
      <c r="B139" t="s">
        <v>468</v>
      </c>
      <c r="C139" t="str">
        <f t="shared" si="12"/>
        <v>EC-ACC-0138</v>
      </c>
      <c r="D139" t="s">
        <v>469</v>
      </c>
      <c r="E139" t="str">
        <f t="shared" si="13"/>
        <v>Northstar Essential Phone Case - Black</v>
      </c>
      <c r="F139" t="s">
        <v>795</v>
      </c>
      <c r="G139" t="str">
        <f t="shared" si="14"/>
        <v>Accessories</v>
      </c>
      <c r="H139" t="s">
        <v>817</v>
      </c>
      <c r="I139" t="str" cm="1">
        <f t="array" ref="I139">PROPER(IF(TRIM(H139)&lt;&gt;"",TRIM(H139),IFERROR(INDEX('Brand Reference'!$A$2:$A$13,MATCH(TRUE,ISNUMBER(SEARCH('Brand Reference'!$A$2:$A$13,E139)),0)),"Unknown")))</f>
        <v>Northstar</v>
      </c>
      <c r="J139" t="s">
        <v>25</v>
      </c>
      <c r="K139" t="str">
        <f t="shared" si="15"/>
        <v>Everwell Supply</v>
      </c>
      <c r="L139" s="4">
        <v>12.81</v>
      </c>
      <c r="M139">
        <v>24.95</v>
      </c>
      <c r="N139" s="4">
        <f t="shared" si="16"/>
        <v>24.95</v>
      </c>
      <c r="O139" s="6">
        <v>201</v>
      </c>
      <c r="P139" s="6">
        <v>25</v>
      </c>
      <c r="Q139" t="s">
        <v>97</v>
      </c>
      <c r="R139" t="str">
        <f t="shared" si="17"/>
        <v>LON-B2</v>
      </c>
      <c r="S139" s="1">
        <v>45711</v>
      </c>
    </row>
    <row r="140" spans="1:19">
      <c r="A140" t="s">
        <v>470</v>
      </c>
      <c r="B140" t="s">
        <v>471</v>
      </c>
      <c r="C140" t="str">
        <f t="shared" si="12"/>
        <v>EC-BEA-0139</v>
      </c>
      <c r="D140" t="s">
        <v>472</v>
      </c>
      <c r="E140" t="str">
        <f t="shared" si="13"/>
        <v>Oak &amp; Ember Deluxe Shampoo</v>
      </c>
      <c r="F140" t="s">
        <v>54</v>
      </c>
      <c r="G140" t="str">
        <f t="shared" si="14"/>
        <v>Beauty</v>
      </c>
      <c r="H140" t="s">
        <v>64</v>
      </c>
      <c r="I140" t="str" cm="1">
        <f t="array" ref="I140">PROPER(IF(TRIM(H140)&lt;&gt;"",TRIM(H140),IFERROR(INDEX('Brand Reference'!$A$2:$A$13,MATCH(TRUE,ISNUMBER(SEARCH('Brand Reference'!$A$2:$A$13,E140)),0)),"Unknown")))</f>
        <v>Oak &amp; Ember</v>
      </c>
      <c r="J140" t="s">
        <v>101</v>
      </c>
      <c r="K140" t="str">
        <f t="shared" si="15"/>
        <v>Aster Wholesale Ltd</v>
      </c>
      <c r="L140" s="4">
        <v>5.0199999999999996</v>
      </c>
      <c r="M140">
        <v>7.89</v>
      </c>
      <c r="N140" s="4">
        <f t="shared" si="16"/>
        <v>7.89</v>
      </c>
      <c r="O140" s="6">
        <v>185</v>
      </c>
      <c r="P140" s="6">
        <v>10</v>
      </c>
      <c r="Q140" t="s">
        <v>44</v>
      </c>
      <c r="R140" t="str">
        <f t="shared" si="17"/>
        <v>BHM-C3</v>
      </c>
      <c r="S140" s="1">
        <v>45399</v>
      </c>
    </row>
    <row r="141" spans="1:19">
      <c r="A141" t="s">
        <v>473</v>
      </c>
      <c r="B141" t="s">
        <v>474</v>
      </c>
      <c r="C141" t="str">
        <f t="shared" si="12"/>
        <v>EC-BEA-0140</v>
      </c>
      <c r="D141" t="s">
        <v>818</v>
      </c>
      <c r="E141" t="str">
        <f t="shared" si="13"/>
        <v>Everyday Co. Plus Shampoo - Blue</v>
      </c>
      <c r="F141" t="s">
        <v>54</v>
      </c>
      <c r="G141" t="str">
        <f t="shared" si="14"/>
        <v>Beauty</v>
      </c>
      <c r="H141" t="s">
        <v>24</v>
      </c>
      <c r="I141" t="str" cm="1">
        <f t="array" ref="I141">PROPER(IF(TRIM(H141)&lt;&gt;"",TRIM(H141),IFERROR(INDEX('Brand Reference'!$A$2:$A$13,MATCH(TRUE,ISNUMBER(SEARCH('Brand Reference'!$A$2:$A$13,E141)),0)),"Unknown")))</f>
        <v>Everyday Co.</v>
      </c>
      <c r="J141" t="s">
        <v>159</v>
      </c>
      <c r="K141" t="str">
        <f t="shared" si="15"/>
        <v>Foxbridge Partners</v>
      </c>
      <c r="L141" s="4">
        <v>55.58</v>
      </c>
      <c r="M141">
        <v>85.37</v>
      </c>
      <c r="N141" s="4">
        <f t="shared" si="16"/>
        <v>85.37</v>
      </c>
      <c r="O141" s="6">
        <v>138</v>
      </c>
      <c r="P141" s="6">
        <v>15</v>
      </c>
      <c r="Q141" t="s">
        <v>20</v>
      </c>
      <c r="R141" t="str">
        <f t="shared" si="17"/>
        <v>LON-A1</v>
      </c>
      <c r="S141" s="1">
        <v>45774</v>
      </c>
    </row>
    <row r="142" spans="1:19">
      <c r="A142" t="s">
        <v>476</v>
      </c>
      <c r="B142" t="s">
        <v>477</v>
      </c>
      <c r="C142" t="str">
        <f t="shared" si="12"/>
        <v>EC-KIT-0141</v>
      </c>
      <c r="D142" t="s">
        <v>819</v>
      </c>
      <c r="E142" t="str">
        <f t="shared" si="13"/>
        <v>Cedar Lane Mini Coffee Grinder</v>
      </c>
      <c r="F142" t="s">
        <v>753</v>
      </c>
      <c r="G142" t="str">
        <f t="shared" si="14"/>
        <v>Kitchen</v>
      </c>
      <c r="H142" t="s">
        <v>789</v>
      </c>
      <c r="I142" t="str" cm="1">
        <f t="array" ref="I142">PROPER(IF(TRIM(H142)&lt;&gt;"",TRIM(H142),IFERROR(INDEX('Brand Reference'!$A$2:$A$13,MATCH(TRUE,ISNUMBER(SEARCH('Brand Reference'!$A$2:$A$13,E142)),0)),"Unknown")))</f>
        <v>Cedar Lane</v>
      </c>
      <c r="J142" t="s">
        <v>25</v>
      </c>
      <c r="K142" t="str">
        <f t="shared" si="15"/>
        <v>Everwell Supply</v>
      </c>
      <c r="L142" s="4">
        <v>48.25</v>
      </c>
      <c r="M142">
        <v>86.71</v>
      </c>
      <c r="N142" s="4">
        <f t="shared" si="16"/>
        <v>86.71</v>
      </c>
      <c r="O142" s="6">
        <v>8</v>
      </c>
      <c r="P142" s="6">
        <v>10</v>
      </c>
      <c r="Q142" t="s">
        <v>97</v>
      </c>
      <c r="R142" t="str">
        <f t="shared" si="17"/>
        <v>LON-B2</v>
      </c>
      <c r="S142" s="1">
        <v>45957</v>
      </c>
    </row>
    <row r="143" spans="1:19">
      <c r="A143" t="s">
        <v>479</v>
      </c>
      <c r="B143" t="s">
        <v>820</v>
      </c>
      <c r="C143" t="str">
        <f t="shared" si="12"/>
        <v>EC-HOM-0142</v>
      </c>
      <c r="D143" t="s">
        <v>481</v>
      </c>
      <c r="E143" t="str">
        <f t="shared" si="13"/>
        <v>Everyday Co. Classic LED Strip Lights</v>
      </c>
      <c r="F143" t="s">
        <v>30</v>
      </c>
      <c r="G143" t="str">
        <f t="shared" si="14"/>
        <v>Home &amp; Office</v>
      </c>
      <c r="H143" t="s">
        <v>24</v>
      </c>
      <c r="I143" t="str" cm="1">
        <f t="array" ref="I143">PROPER(IF(TRIM(H143)&lt;&gt;"",TRIM(H143),IFERROR(INDEX('Brand Reference'!$A$2:$A$13,MATCH(TRUE,ISNUMBER(SEARCH('Brand Reference'!$A$2:$A$13,E143)),0)),"Unknown")))</f>
        <v>Everyday Co.</v>
      </c>
      <c r="J143" t="s">
        <v>59</v>
      </c>
      <c r="K143" t="str">
        <f t="shared" si="15"/>
        <v>Bluegate Distribution</v>
      </c>
      <c r="L143" s="4">
        <v>79.45</v>
      </c>
      <c r="M143" t="s">
        <v>821</v>
      </c>
      <c r="N143" s="4">
        <f t="shared" si="16"/>
        <v>119.9</v>
      </c>
      <c r="O143" s="6">
        <v>179</v>
      </c>
      <c r="P143" s="6">
        <v>5</v>
      </c>
      <c r="Q143" t="s">
        <v>26</v>
      </c>
      <c r="R143" t="str">
        <f t="shared" si="17"/>
        <v>MAN-A1</v>
      </c>
      <c r="S143" s="1">
        <v>45612</v>
      </c>
    </row>
    <row r="144" spans="1:19">
      <c r="A144" t="s">
        <v>482</v>
      </c>
      <c r="B144" t="s">
        <v>483</v>
      </c>
      <c r="C144" t="str">
        <f t="shared" si="12"/>
        <v>EC-ELE-0143</v>
      </c>
      <c r="D144" t="s">
        <v>484</v>
      </c>
      <c r="E144" t="str">
        <f t="shared" si="13"/>
        <v>PixelWorks Plus Wireless Mouse - White</v>
      </c>
      <c r="F144" t="s">
        <v>17</v>
      </c>
      <c r="G144" t="str">
        <f t="shared" si="14"/>
        <v>Electronics</v>
      </c>
      <c r="H144" t="s">
        <v>738</v>
      </c>
      <c r="I144" t="str" cm="1">
        <f t="array" ref="I144">PROPER(IF(TRIM(H144)&lt;&gt;"",TRIM(H144),IFERROR(INDEX('Brand Reference'!$A$2:$A$13,MATCH(TRUE,ISNUMBER(SEARCH('Brand Reference'!$A$2:$A$13,E144)),0)),"Unknown")))</f>
        <v>Pixelworks</v>
      </c>
      <c r="J144" t="s">
        <v>25</v>
      </c>
      <c r="K144" t="str">
        <f t="shared" si="15"/>
        <v>Everwell Supply</v>
      </c>
      <c r="L144" s="4">
        <v>46.23</v>
      </c>
      <c r="M144">
        <v>69.39</v>
      </c>
      <c r="N144" s="4">
        <f t="shared" si="16"/>
        <v>69.39</v>
      </c>
      <c r="O144" s="6">
        <v>128</v>
      </c>
      <c r="P144" s="6">
        <v>10</v>
      </c>
      <c r="Q144" t="s">
        <v>20</v>
      </c>
      <c r="R144" t="str">
        <f t="shared" si="17"/>
        <v>LON-A1</v>
      </c>
      <c r="S144" s="1">
        <v>45724</v>
      </c>
    </row>
    <row r="145" spans="1:19">
      <c r="A145" t="s">
        <v>485</v>
      </c>
      <c r="B145" t="s">
        <v>486</v>
      </c>
      <c r="C145" t="str">
        <f t="shared" si="12"/>
        <v>EC-ELE-0144</v>
      </c>
      <c r="D145" t="s">
        <v>487</v>
      </c>
      <c r="E145" t="str">
        <f t="shared" si="13"/>
        <v>Cedar Lane Premium USB-C Hub</v>
      </c>
      <c r="F145" t="s">
        <v>17</v>
      </c>
      <c r="G145" t="str">
        <f t="shared" si="14"/>
        <v>Electronics</v>
      </c>
      <c r="H145" t="s">
        <v>146</v>
      </c>
      <c r="I145" t="str" cm="1">
        <f t="array" ref="I145">PROPER(IF(TRIM(H145)&lt;&gt;"",TRIM(H145),IFERROR(INDEX('Brand Reference'!$A$2:$A$13,MATCH(TRUE,ISNUMBER(SEARCH('Brand Reference'!$A$2:$A$13,E145)),0)),"Unknown")))</f>
        <v>Cedar Lane</v>
      </c>
      <c r="J145" t="s">
        <v>59</v>
      </c>
      <c r="K145" t="str">
        <f t="shared" si="15"/>
        <v>Bluegate Distribution</v>
      </c>
      <c r="L145" s="4">
        <v>35.54</v>
      </c>
      <c r="M145">
        <v>72.86</v>
      </c>
      <c r="N145" s="4">
        <f t="shared" si="16"/>
        <v>72.86</v>
      </c>
      <c r="O145" s="6">
        <v>116</v>
      </c>
      <c r="P145" s="6">
        <v>25</v>
      </c>
      <c r="Q145" t="s">
        <v>50</v>
      </c>
      <c r="R145" t="str">
        <f t="shared" si="17"/>
        <v>LDS-B1</v>
      </c>
      <c r="S145" s="1">
        <v>45562</v>
      </c>
    </row>
    <row r="146" spans="1:19">
      <c r="A146" t="s">
        <v>488</v>
      </c>
      <c r="B146" t="s">
        <v>489</v>
      </c>
      <c r="C146" t="str">
        <f t="shared" si="12"/>
        <v>EC-STA-0145</v>
      </c>
      <c r="D146" t="s">
        <v>490</v>
      </c>
      <c r="E146" t="str">
        <f t="shared" si="13"/>
        <v>Urban Field Everyday Ballpoint Pens</v>
      </c>
      <c r="F146" t="s">
        <v>191</v>
      </c>
      <c r="G146" t="str">
        <f t="shared" si="14"/>
        <v>Stationery</v>
      </c>
      <c r="H146" t="s">
        <v>69</v>
      </c>
      <c r="I146" t="str" cm="1">
        <f t="array" ref="I146">PROPER(IF(TRIM(H146)&lt;&gt;"",TRIM(H146),IFERROR(INDEX('Brand Reference'!$A$2:$A$13,MATCH(TRUE,ISNUMBER(SEARCH('Brand Reference'!$A$2:$A$13,E146)),0)),"Unknown")))</f>
        <v>Urban Field</v>
      </c>
      <c r="J146" t="s">
        <v>101</v>
      </c>
      <c r="K146" t="str">
        <f t="shared" si="15"/>
        <v>Aster Wholesale Ltd</v>
      </c>
      <c r="L146" s="4">
        <v>59.5</v>
      </c>
      <c r="M146">
        <v>93.73</v>
      </c>
      <c r="N146" s="4">
        <f t="shared" si="16"/>
        <v>93.73</v>
      </c>
      <c r="O146" s="6">
        <v>237</v>
      </c>
      <c r="P146" s="6">
        <v>40</v>
      </c>
      <c r="Q146" t="s">
        <v>26</v>
      </c>
      <c r="R146" t="str">
        <f t="shared" si="17"/>
        <v>MAN-A1</v>
      </c>
      <c r="S146" s="1">
        <v>46102</v>
      </c>
    </row>
    <row r="147" spans="1:19">
      <c r="A147" t="s">
        <v>491</v>
      </c>
      <c r="B147" t="s">
        <v>492</v>
      </c>
      <c r="C147" t="str">
        <f t="shared" si="12"/>
        <v>EC-ELE-0146</v>
      </c>
      <c r="D147" t="s">
        <v>493</v>
      </c>
      <c r="E147" t="str">
        <f t="shared" si="13"/>
        <v>PixelWorks Pro Wireless Mouse</v>
      </c>
      <c r="F147" t="s">
        <v>17</v>
      </c>
      <c r="G147" t="str">
        <f t="shared" si="14"/>
        <v>Electronics</v>
      </c>
      <c r="H147" t="s">
        <v>738</v>
      </c>
      <c r="I147" t="str" cm="1">
        <f t="array" ref="I147">PROPER(IF(TRIM(H147)&lt;&gt;"",TRIM(H147),IFERROR(INDEX('Brand Reference'!$A$2:$A$13,MATCH(TRUE,ISNUMBER(SEARCH('Brand Reference'!$A$2:$A$13,E147)),0)),"Unknown")))</f>
        <v>Pixelworks</v>
      </c>
      <c r="J147" t="s">
        <v>79</v>
      </c>
      <c r="K147" t="str">
        <f t="shared" si="15"/>
        <v>Crownline Imports</v>
      </c>
      <c r="L147" s="4">
        <v>34.28</v>
      </c>
      <c r="M147">
        <v>72.22</v>
      </c>
      <c r="N147" s="4">
        <f t="shared" si="16"/>
        <v>72.22</v>
      </c>
      <c r="O147" s="6">
        <v>146</v>
      </c>
      <c r="P147" s="6">
        <v>12</v>
      </c>
      <c r="Q147" t="s">
        <v>44</v>
      </c>
      <c r="R147" t="str">
        <f t="shared" si="17"/>
        <v>BHM-C3</v>
      </c>
      <c r="S147" s="1">
        <v>45816</v>
      </c>
    </row>
    <row r="148" spans="1:19">
      <c r="A148" t="s">
        <v>494</v>
      </c>
      <c r="B148" t="s">
        <v>495</v>
      </c>
      <c r="C148" t="str">
        <f t="shared" si="12"/>
        <v>EC-ACC-0147</v>
      </c>
      <c r="D148" t="s">
        <v>496</v>
      </c>
      <c r="E148" t="str">
        <f t="shared" si="13"/>
        <v>Everyday Co. Eco Canvas Tote Bag</v>
      </c>
      <c r="F148" t="s">
        <v>42</v>
      </c>
      <c r="G148" t="str">
        <f t="shared" si="14"/>
        <v>Accessories</v>
      </c>
      <c r="H148" t="s">
        <v>24</v>
      </c>
      <c r="I148" t="str" cm="1">
        <f t="array" ref="I148">PROPER(IF(TRIM(H148)&lt;&gt;"",TRIM(H148),IFERROR(INDEX('Brand Reference'!$A$2:$A$13,MATCH(TRUE,ISNUMBER(SEARCH('Brand Reference'!$A$2:$A$13,E148)),0)),"Unknown")))</f>
        <v>Everyday Co.</v>
      </c>
      <c r="J148" t="s">
        <v>74</v>
      </c>
      <c r="K148" t="str">
        <f t="shared" si="15"/>
        <v>Harbour Stockists</v>
      </c>
      <c r="L148" s="4">
        <v>76.56</v>
      </c>
      <c r="M148">
        <v>156.25</v>
      </c>
      <c r="N148" s="4">
        <f t="shared" si="16"/>
        <v>156.25</v>
      </c>
      <c r="O148" s="6">
        <v>250</v>
      </c>
      <c r="P148" s="6">
        <v>20</v>
      </c>
      <c r="Q148" t="s">
        <v>44</v>
      </c>
      <c r="R148" t="str">
        <f t="shared" si="17"/>
        <v>BHM-C3</v>
      </c>
      <c r="S148" s="1">
        <v>45814</v>
      </c>
    </row>
    <row r="149" spans="1:19">
      <c r="A149" t="s">
        <v>497</v>
      </c>
      <c r="B149" t="s">
        <v>822</v>
      </c>
      <c r="C149" t="str">
        <f t="shared" si="12"/>
        <v>EC-ELE-0148</v>
      </c>
      <c r="D149" t="s">
        <v>499</v>
      </c>
      <c r="E149" t="str">
        <f t="shared" si="13"/>
        <v>Oak &amp; Ember Plus Bluetooth Speaker - Blue</v>
      </c>
      <c r="F149" t="s">
        <v>17</v>
      </c>
      <c r="G149" t="str">
        <f t="shared" si="14"/>
        <v>Electronics</v>
      </c>
      <c r="I149" t="str" cm="1">
        <f t="array" ref="I149">PROPER(IF(TRIM(H149)&lt;&gt;"",TRIM(H149),IFERROR(INDEX('Brand Reference'!$A$2:$A$13,MATCH(TRUE,ISNUMBER(SEARCH('Brand Reference'!$A$2:$A$13,E149)),0)),"Unknown")))</f>
        <v>Oak &amp; Ember</v>
      </c>
      <c r="J149" t="s">
        <v>101</v>
      </c>
      <c r="K149" t="str">
        <f t="shared" si="15"/>
        <v>Aster Wholesale Ltd</v>
      </c>
      <c r="L149" s="4">
        <v>52.97</v>
      </c>
      <c r="M149">
        <v>94.31</v>
      </c>
      <c r="N149" s="4">
        <f t="shared" si="16"/>
        <v>94.31</v>
      </c>
      <c r="O149" s="6">
        <v>26</v>
      </c>
      <c r="P149" s="6">
        <v>25</v>
      </c>
      <c r="Q149" t="s">
        <v>26</v>
      </c>
      <c r="R149" t="str">
        <f t="shared" si="17"/>
        <v>MAN-A1</v>
      </c>
      <c r="S149" s="1">
        <v>45989</v>
      </c>
    </row>
    <row r="150" spans="1:19">
      <c r="A150" t="s">
        <v>500</v>
      </c>
      <c r="B150" t="s">
        <v>501</v>
      </c>
      <c r="C150" t="str">
        <f t="shared" si="12"/>
        <v>EC-ACC-0149</v>
      </c>
      <c r="D150" t="s">
        <v>502</v>
      </c>
      <c r="E150" t="str">
        <f t="shared" si="13"/>
        <v>PixelWorks Essential Phone Case</v>
      </c>
      <c r="F150" t="s">
        <v>42</v>
      </c>
      <c r="G150" t="str">
        <f t="shared" si="14"/>
        <v>Accessories</v>
      </c>
      <c r="H150" t="s">
        <v>735</v>
      </c>
      <c r="I150" t="str" cm="1">
        <f t="array" ref="I150">PROPER(IF(TRIM(H150)&lt;&gt;"",TRIM(H150),IFERROR(INDEX('Brand Reference'!$A$2:$A$13,MATCH(TRUE,ISNUMBER(SEARCH('Brand Reference'!$A$2:$A$13,E150)),0)),"Unknown")))</f>
        <v>Pixelworks</v>
      </c>
      <c r="J150" t="s">
        <v>49</v>
      </c>
      <c r="K150" t="str">
        <f t="shared" si="15"/>
        <v>Ivory Peak Logistics</v>
      </c>
      <c r="L150" s="4">
        <v>6.18</v>
      </c>
      <c r="M150">
        <v>11.25</v>
      </c>
      <c r="N150" s="4">
        <f t="shared" si="16"/>
        <v>11.25</v>
      </c>
      <c r="O150" s="6">
        <v>112</v>
      </c>
      <c r="P150" s="6">
        <v>15</v>
      </c>
      <c r="Q150" t="s">
        <v>44</v>
      </c>
      <c r="R150" t="str">
        <f t="shared" si="17"/>
        <v>BHM-C3</v>
      </c>
      <c r="S150" s="1">
        <v>45708</v>
      </c>
    </row>
    <row r="151" spans="1:19">
      <c r="A151" t="s">
        <v>503</v>
      </c>
      <c r="B151" t="s">
        <v>504</v>
      </c>
      <c r="C151" t="str">
        <f t="shared" si="12"/>
        <v>EC-TRA-0150</v>
      </c>
      <c r="D151" t="s">
        <v>505</v>
      </c>
      <c r="E151" t="str">
        <f t="shared" si="13"/>
        <v>Urban Field Deluxe Packing Cubes</v>
      </c>
      <c r="F151" t="s">
        <v>78</v>
      </c>
      <c r="G151" t="str">
        <f t="shared" si="14"/>
        <v>Travel</v>
      </c>
      <c r="H151" t="s">
        <v>69</v>
      </c>
      <c r="I151" t="str" cm="1">
        <f t="array" ref="I151">PROPER(IF(TRIM(H151)&lt;&gt;"",TRIM(H151),IFERROR(INDEX('Brand Reference'!$A$2:$A$13,MATCH(TRUE,ISNUMBER(SEARCH('Brand Reference'!$A$2:$A$13,E151)),0)),"Unknown")))</f>
        <v>Urban Field</v>
      </c>
      <c r="J151" t="s">
        <v>769</v>
      </c>
      <c r="K151" t="str">
        <f t="shared" si="15"/>
        <v>Everwell Supply</v>
      </c>
      <c r="L151" s="4">
        <v>40.67</v>
      </c>
      <c r="M151">
        <v>55.36</v>
      </c>
      <c r="N151" s="4">
        <f t="shared" si="16"/>
        <v>55.36</v>
      </c>
      <c r="O151" s="6">
        <v>205</v>
      </c>
      <c r="P151" s="6">
        <v>20</v>
      </c>
      <c r="Q151" t="s">
        <v>44</v>
      </c>
      <c r="R151" t="str">
        <f t="shared" si="17"/>
        <v>BHM-C3</v>
      </c>
      <c r="S151" s="1">
        <v>45813</v>
      </c>
    </row>
    <row r="152" spans="1:19">
      <c r="A152" t="s">
        <v>506</v>
      </c>
      <c r="B152" t="s">
        <v>507</v>
      </c>
      <c r="C152" t="str">
        <f t="shared" si="12"/>
        <v>EC-FIT-0151</v>
      </c>
      <c r="D152" t="s">
        <v>508</v>
      </c>
      <c r="E152" t="str">
        <f t="shared" si="13"/>
        <v>Northstar Everyday Yoga Mat - Blue</v>
      </c>
      <c r="F152" t="s">
        <v>87</v>
      </c>
      <c r="G152" t="str">
        <f t="shared" si="14"/>
        <v>Fitness</v>
      </c>
      <c r="H152" t="s">
        <v>823</v>
      </c>
      <c r="I152" t="str" cm="1">
        <f t="array" ref="I152">PROPER(IF(TRIM(H152)&lt;&gt;"",TRIM(H152),IFERROR(INDEX('Brand Reference'!$A$2:$A$13,MATCH(TRUE,ISNUMBER(SEARCH('Brand Reference'!$A$2:$A$13,E152)),0)),"Unknown")))</f>
        <v>Northstar</v>
      </c>
      <c r="J152" t="s">
        <v>101</v>
      </c>
      <c r="K152" t="str">
        <f t="shared" si="15"/>
        <v>Aster Wholesale Ltd</v>
      </c>
      <c r="L152" s="4">
        <v>28.15</v>
      </c>
      <c r="M152">
        <v>54.7</v>
      </c>
      <c r="N152" s="4">
        <f t="shared" si="16"/>
        <v>54.7</v>
      </c>
      <c r="O152" s="6">
        <v>65</v>
      </c>
      <c r="P152" s="6">
        <v>30</v>
      </c>
      <c r="Q152" t="s">
        <v>44</v>
      </c>
      <c r="R152" t="str">
        <f t="shared" si="17"/>
        <v>BHM-C3</v>
      </c>
      <c r="S152" s="1">
        <v>46088</v>
      </c>
    </row>
    <row r="153" spans="1:19">
      <c r="A153" t="s">
        <v>509</v>
      </c>
      <c r="B153" t="s">
        <v>510</v>
      </c>
      <c r="C153" t="str">
        <f t="shared" si="12"/>
        <v>EC-HOM-0152</v>
      </c>
      <c r="D153" t="s">
        <v>511</v>
      </c>
      <c r="E153" t="str">
        <f t="shared" si="13"/>
        <v>Cedar Lane Studio LED Strip Lights</v>
      </c>
      <c r="F153" t="s">
        <v>30</v>
      </c>
      <c r="G153" t="str">
        <f t="shared" si="14"/>
        <v>Home &amp; Office</v>
      </c>
      <c r="I153" t="str" cm="1">
        <f t="array" ref="I153">PROPER(IF(TRIM(H153)&lt;&gt;"",TRIM(H153),IFERROR(INDEX('Brand Reference'!$A$2:$A$13,MATCH(TRUE,ISNUMBER(SEARCH('Brand Reference'!$A$2:$A$13,E153)),0)),"Unknown")))</f>
        <v>Cedar Lane</v>
      </c>
      <c r="J153" t="s">
        <v>101</v>
      </c>
      <c r="K153" t="str">
        <f t="shared" si="15"/>
        <v>Aster Wholesale Ltd</v>
      </c>
      <c r="L153" s="4">
        <v>36.07</v>
      </c>
      <c r="M153">
        <v>60.68</v>
      </c>
      <c r="N153" s="4">
        <f t="shared" si="16"/>
        <v>60.68</v>
      </c>
      <c r="O153" s="6">
        <v>29</v>
      </c>
      <c r="P153" s="6">
        <v>40</v>
      </c>
      <c r="Q153" t="s">
        <v>771</v>
      </c>
      <c r="R153" t="str">
        <f t="shared" si="17"/>
        <v>LDS-B1</v>
      </c>
      <c r="S153" s="1">
        <v>45650</v>
      </c>
    </row>
    <row r="154" spans="1:19">
      <c r="A154" t="s">
        <v>512</v>
      </c>
      <c r="B154" t="s">
        <v>513</v>
      </c>
      <c r="C154" t="str">
        <f t="shared" si="12"/>
        <v>EC-BOO-0153</v>
      </c>
      <c r="D154" t="s">
        <v>514</v>
      </c>
      <c r="E154" t="str">
        <f t="shared" si="13"/>
        <v>Harbour &amp; Hill Premium Cookbook - Navy</v>
      </c>
      <c r="F154" t="s">
        <v>117</v>
      </c>
      <c r="G154" t="str">
        <f t="shared" si="14"/>
        <v>Books</v>
      </c>
      <c r="H154" t="s">
        <v>55</v>
      </c>
      <c r="I154" t="str" cm="1">
        <f t="array" ref="I154">PROPER(IF(TRIM(H154)&lt;&gt;"",TRIM(H154),IFERROR(INDEX('Brand Reference'!$A$2:$A$13,MATCH(TRUE,ISNUMBER(SEARCH('Brand Reference'!$A$2:$A$13,E154)),0)),"Unknown")))</f>
        <v>Harbour &amp; Hill</v>
      </c>
      <c r="J154" t="s">
        <v>32</v>
      </c>
      <c r="K154" t="str">
        <f t="shared" si="15"/>
        <v>Juniper Merchants</v>
      </c>
      <c r="L154" s="4">
        <v>54.03</v>
      </c>
      <c r="M154">
        <v>125.58</v>
      </c>
      <c r="N154" s="4">
        <f t="shared" si="16"/>
        <v>125.58</v>
      </c>
      <c r="O154" s="6">
        <v>209</v>
      </c>
      <c r="P154" s="6">
        <v>25</v>
      </c>
      <c r="Q154" t="s">
        <v>44</v>
      </c>
      <c r="R154" t="str">
        <f t="shared" si="17"/>
        <v>BHM-C3</v>
      </c>
      <c r="S154" s="1">
        <v>45800</v>
      </c>
    </row>
    <row r="155" spans="1:19">
      <c r="A155" t="s">
        <v>515</v>
      </c>
      <c r="B155" t="s">
        <v>516</v>
      </c>
      <c r="C155" t="str">
        <f t="shared" si="12"/>
        <v>EC-ELE-0154</v>
      </c>
      <c r="D155" t="s">
        <v>517</v>
      </c>
      <c r="E155" t="str">
        <f t="shared" si="13"/>
        <v>Northstar Classic Webcam</v>
      </c>
      <c r="F155" t="s">
        <v>17</v>
      </c>
      <c r="G155" t="str">
        <f t="shared" si="14"/>
        <v>Electronics</v>
      </c>
      <c r="H155" t="s">
        <v>83</v>
      </c>
      <c r="I155" t="str" cm="1">
        <f t="array" ref="I155">PROPER(IF(TRIM(H155)&lt;&gt;"",TRIM(H155),IFERROR(INDEX('Brand Reference'!$A$2:$A$13,MATCH(TRUE,ISNUMBER(SEARCH('Brand Reference'!$A$2:$A$13,E155)),0)),"Unknown")))</f>
        <v>Northstar</v>
      </c>
      <c r="J155" t="s">
        <v>49</v>
      </c>
      <c r="K155" t="str">
        <f t="shared" si="15"/>
        <v>Ivory Peak Logistics</v>
      </c>
      <c r="L155" s="4">
        <v>67.27</v>
      </c>
      <c r="M155">
        <v>120.98</v>
      </c>
      <c r="N155" s="4">
        <f t="shared" si="16"/>
        <v>120.98</v>
      </c>
      <c r="O155" s="6">
        <v>11</v>
      </c>
      <c r="P155" s="6">
        <v>5</v>
      </c>
      <c r="Q155" t="s">
        <v>97</v>
      </c>
      <c r="R155" t="str">
        <f t="shared" si="17"/>
        <v>LON-B2</v>
      </c>
      <c r="S155" s="1">
        <v>45652</v>
      </c>
    </row>
    <row r="156" spans="1:19">
      <c r="A156" t="s">
        <v>518</v>
      </c>
      <c r="B156" t="s">
        <v>519</v>
      </c>
      <c r="C156" t="str">
        <f t="shared" si="12"/>
        <v>EC-ELE-0155</v>
      </c>
      <c r="D156" t="s">
        <v>520</v>
      </c>
      <c r="E156" t="str">
        <f t="shared" si="13"/>
        <v>Morrow Classic Wireless Mouse</v>
      </c>
      <c r="F156" t="s">
        <v>17</v>
      </c>
      <c r="G156" t="str">
        <f t="shared" si="14"/>
        <v>Electronics</v>
      </c>
      <c r="H156" t="s">
        <v>48</v>
      </c>
      <c r="I156" t="str" cm="1">
        <f t="array" ref="I156">PROPER(IF(TRIM(H156)&lt;&gt;"",TRIM(H156),IFERROR(INDEX('Brand Reference'!$A$2:$A$13,MATCH(TRUE,ISNUMBER(SEARCH('Brand Reference'!$A$2:$A$13,E156)),0)),"Unknown")))</f>
        <v>Morrow</v>
      </c>
      <c r="J156" t="s">
        <v>79</v>
      </c>
      <c r="K156" t="str">
        <f t="shared" si="15"/>
        <v>Crownline Imports</v>
      </c>
      <c r="L156" s="4">
        <v>68.72</v>
      </c>
      <c r="M156">
        <v>165.28</v>
      </c>
      <c r="N156" s="4">
        <f t="shared" si="16"/>
        <v>165.28</v>
      </c>
      <c r="O156" s="6">
        <v>74</v>
      </c>
      <c r="P156" s="6">
        <v>20</v>
      </c>
      <c r="Q156" t="s">
        <v>44</v>
      </c>
      <c r="R156" t="str">
        <f t="shared" si="17"/>
        <v>BHM-C3</v>
      </c>
      <c r="S156" s="1">
        <v>45931</v>
      </c>
    </row>
    <row r="157" spans="1:19">
      <c r="A157" t="s">
        <v>521</v>
      </c>
      <c r="B157" t="s">
        <v>522</v>
      </c>
      <c r="C157" t="str">
        <f t="shared" si="12"/>
        <v>EC-HOM-0156</v>
      </c>
      <c r="D157" t="s">
        <v>523</v>
      </c>
      <c r="E157" t="str">
        <f t="shared" si="13"/>
        <v>Northstar Plus Desk Lamp</v>
      </c>
      <c r="F157" t="s">
        <v>30</v>
      </c>
      <c r="G157" t="str">
        <f t="shared" si="14"/>
        <v>Home &amp; Office</v>
      </c>
      <c r="H157" t="s">
        <v>83</v>
      </c>
      <c r="I157" t="str" cm="1">
        <f t="array" ref="I157">PROPER(IF(TRIM(H157)&lt;&gt;"",TRIM(H157),IFERROR(INDEX('Brand Reference'!$A$2:$A$13,MATCH(TRUE,ISNUMBER(SEARCH('Brand Reference'!$A$2:$A$13,E157)),0)),"Unknown")))</f>
        <v>Northstar</v>
      </c>
      <c r="J157" t="s">
        <v>74</v>
      </c>
      <c r="K157" t="str">
        <f t="shared" si="15"/>
        <v>Harbour Stockists</v>
      </c>
      <c r="L157" s="4">
        <v>69.349999999999994</v>
      </c>
      <c r="M157">
        <v>114.72</v>
      </c>
      <c r="N157" s="4">
        <f t="shared" si="16"/>
        <v>114.72</v>
      </c>
      <c r="O157" s="6">
        <v>136</v>
      </c>
      <c r="P157" s="6">
        <v>15</v>
      </c>
      <c r="Q157" t="s">
        <v>44</v>
      </c>
      <c r="R157" t="str">
        <f t="shared" si="17"/>
        <v>BHM-C3</v>
      </c>
      <c r="S157" s="1">
        <v>45420</v>
      </c>
    </row>
    <row r="158" spans="1:19">
      <c r="A158" t="s">
        <v>524</v>
      </c>
      <c r="B158" t="s">
        <v>525</v>
      </c>
      <c r="C158" t="str">
        <f t="shared" si="12"/>
        <v>EC-ACC-0157</v>
      </c>
      <c r="D158" t="s">
        <v>526</v>
      </c>
      <c r="E158" t="str">
        <f t="shared" si="13"/>
        <v>Harbour &amp; Hill Pro Backpack - Silver</v>
      </c>
      <c r="F158" t="s">
        <v>42</v>
      </c>
      <c r="G158" t="str">
        <f t="shared" si="14"/>
        <v>Accessories</v>
      </c>
      <c r="H158" t="s">
        <v>55</v>
      </c>
      <c r="I158" t="str" cm="1">
        <f t="array" ref="I158">PROPER(IF(TRIM(H158)&lt;&gt;"",TRIM(H158),IFERROR(INDEX('Brand Reference'!$A$2:$A$13,MATCH(TRUE,ISNUMBER(SEARCH('Brand Reference'!$A$2:$A$13,E158)),0)),"Unknown")))</f>
        <v>Harbour &amp; Hill</v>
      </c>
      <c r="J158" t="s">
        <v>32</v>
      </c>
      <c r="K158" t="str">
        <f t="shared" si="15"/>
        <v>Juniper Merchants</v>
      </c>
      <c r="L158" s="4">
        <v>19.399999999999999</v>
      </c>
      <c r="M158">
        <v>35.409999999999997</v>
      </c>
      <c r="N158" s="4">
        <f t="shared" si="16"/>
        <v>35.409999999999997</v>
      </c>
      <c r="P158" s="6">
        <v>40</v>
      </c>
      <c r="Q158" t="s">
        <v>97</v>
      </c>
      <c r="R158" t="str">
        <f t="shared" si="17"/>
        <v>LON-B2</v>
      </c>
      <c r="S158" s="1">
        <v>46208</v>
      </c>
    </row>
    <row r="159" spans="1:19">
      <c r="A159" t="s">
        <v>527</v>
      </c>
      <c r="B159" t="s">
        <v>824</v>
      </c>
      <c r="C159" t="str">
        <f t="shared" si="12"/>
        <v>EC-HOM-0158</v>
      </c>
      <c r="D159" t="s">
        <v>529</v>
      </c>
      <c r="E159" t="str">
        <f t="shared" si="13"/>
        <v>Everyday Co. Plus Travel Mug</v>
      </c>
      <c r="F159" t="s">
        <v>30</v>
      </c>
      <c r="G159" t="str">
        <f t="shared" si="14"/>
        <v>Home &amp; Office</v>
      </c>
      <c r="H159" t="s">
        <v>24</v>
      </c>
      <c r="I159" t="str" cm="1">
        <f t="array" ref="I159">PROPER(IF(TRIM(H159)&lt;&gt;"",TRIM(H159),IFERROR(INDEX('Brand Reference'!$A$2:$A$13,MATCH(TRUE,ISNUMBER(SEARCH('Brand Reference'!$A$2:$A$13,E159)),0)),"Unknown")))</f>
        <v>Everyday Co.</v>
      </c>
      <c r="J159" t="s">
        <v>32</v>
      </c>
      <c r="K159" t="str">
        <f t="shared" si="15"/>
        <v>Juniper Merchants</v>
      </c>
      <c r="L159" s="4">
        <v>20.07</v>
      </c>
      <c r="M159">
        <v>49.05</v>
      </c>
      <c r="N159" s="4">
        <f t="shared" si="16"/>
        <v>49.05</v>
      </c>
      <c r="O159" s="6">
        <v>148</v>
      </c>
      <c r="P159" s="6">
        <v>20</v>
      </c>
      <c r="Q159" t="s">
        <v>50</v>
      </c>
      <c r="R159" t="str">
        <f t="shared" si="17"/>
        <v>LDS-B1</v>
      </c>
      <c r="S159" s="1">
        <v>46197</v>
      </c>
    </row>
    <row r="160" spans="1:19">
      <c r="A160" t="s">
        <v>530</v>
      </c>
      <c r="B160" t="s">
        <v>531</v>
      </c>
      <c r="C160" t="str">
        <f t="shared" si="12"/>
        <v>EC-ACC-0159</v>
      </c>
      <c r="D160" t="s">
        <v>532</v>
      </c>
      <c r="E160" t="str">
        <f t="shared" si="13"/>
        <v>Urban Field Eco Sunglasses</v>
      </c>
      <c r="F160" t="s">
        <v>42</v>
      </c>
      <c r="G160" t="str">
        <f t="shared" si="14"/>
        <v>Accessories</v>
      </c>
      <c r="H160" t="s">
        <v>825</v>
      </c>
      <c r="I160" t="str" cm="1">
        <f t="array" ref="I160">PROPER(IF(TRIM(H160)&lt;&gt;"",TRIM(H160),IFERROR(INDEX('Brand Reference'!$A$2:$A$13,MATCH(TRUE,ISNUMBER(SEARCH('Brand Reference'!$A$2:$A$13,E160)),0)),"Unknown")))</f>
        <v>Urban Field</v>
      </c>
      <c r="J160" t="s">
        <v>79</v>
      </c>
      <c r="K160" t="str">
        <f t="shared" si="15"/>
        <v>Crownline Imports</v>
      </c>
      <c r="L160" s="4">
        <v>7.43</v>
      </c>
      <c r="M160">
        <v>17.559999999999999</v>
      </c>
      <c r="N160" s="4">
        <f t="shared" si="16"/>
        <v>17.559999999999999</v>
      </c>
      <c r="O160" s="6">
        <v>18</v>
      </c>
      <c r="P160" s="6">
        <v>15</v>
      </c>
      <c r="Q160" t="s">
        <v>20</v>
      </c>
      <c r="R160" t="str">
        <f t="shared" si="17"/>
        <v>LON-A1</v>
      </c>
      <c r="S160" s="1">
        <v>45735</v>
      </c>
    </row>
    <row r="161" spans="1:19">
      <c r="A161" t="s">
        <v>533</v>
      </c>
      <c r="B161" t="s">
        <v>534</v>
      </c>
      <c r="C161" t="str">
        <f t="shared" si="12"/>
        <v>EC-ACC-0160</v>
      </c>
      <c r="D161" t="s">
        <v>535</v>
      </c>
      <c r="E161" t="str">
        <f t="shared" si="13"/>
        <v>Kindred Deluxe Backpack</v>
      </c>
      <c r="F161" t="s">
        <v>42</v>
      </c>
      <c r="G161" t="str">
        <f t="shared" si="14"/>
        <v>Accessories</v>
      </c>
      <c r="H161" t="s">
        <v>31</v>
      </c>
      <c r="I161" t="str" cm="1">
        <f t="array" ref="I161">PROPER(IF(TRIM(H161)&lt;&gt;"",TRIM(H161),IFERROR(INDEX('Brand Reference'!$A$2:$A$13,MATCH(TRUE,ISNUMBER(SEARCH('Brand Reference'!$A$2:$A$13,E161)),0)),"Unknown")))</f>
        <v>Kindred</v>
      </c>
      <c r="J161" t="s">
        <v>19</v>
      </c>
      <c r="K161" t="str">
        <f t="shared" si="15"/>
        <v>Dovetail Trading Co.</v>
      </c>
      <c r="L161" s="4">
        <v>51.07</v>
      </c>
      <c r="M161">
        <v>123.84</v>
      </c>
      <c r="N161" s="4">
        <f t="shared" si="16"/>
        <v>123.84</v>
      </c>
      <c r="O161" s="6">
        <v>85</v>
      </c>
      <c r="P161" s="6">
        <v>40</v>
      </c>
      <c r="Q161" t="s">
        <v>38</v>
      </c>
      <c r="R161" t="str">
        <f t="shared" si="17"/>
        <v>GLA-A2</v>
      </c>
      <c r="S161" s="1">
        <v>45475</v>
      </c>
    </row>
    <row r="162" spans="1:19">
      <c r="A162" t="s">
        <v>536</v>
      </c>
      <c r="B162" t="s">
        <v>537</v>
      </c>
      <c r="C162" t="str">
        <f t="shared" si="12"/>
        <v>EC-ELE-0161</v>
      </c>
      <c r="D162" t="s">
        <v>538</v>
      </c>
      <c r="E162" t="str">
        <f t="shared" si="13"/>
        <v>Urban Field Studio Webcam</v>
      </c>
      <c r="F162" t="s">
        <v>17</v>
      </c>
      <c r="G162" t="str">
        <f t="shared" si="14"/>
        <v>Electronics</v>
      </c>
      <c r="H162" t="s">
        <v>69</v>
      </c>
      <c r="I162" t="str" cm="1">
        <f t="array" ref="I162">PROPER(IF(TRIM(H162)&lt;&gt;"",TRIM(H162),IFERROR(INDEX('Brand Reference'!$A$2:$A$13,MATCH(TRUE,ISNUMBER(SEARCH('Brand Reference'!$A$2:$A$13,E162)),0)),"Unknown")))</f>
        <v>Urban Field</v>
      </c>
      <c r="J162" t="s">
        <v>79</v>
      </c>
      <c r="K162" t="str">
        <f t="shared" si="15"/>
        <v>Crownline Imports</v>
      </c>
      <c r="L162" s="4">
        <v>42.68</v>
      </c>
      <c r="M162" t="s">
        <v>826</v>
      </c>
      <c r="N162" s="4">
        <f t="shared" si="16"/>
        <v>75.06</v>
      </c>
      <c r="O162" s="6">
        <v>14</v>
      </c>
      <c r="P162" s="6">
        <v>12</v>
      </c>
      <c r="Q162" t="s">
        <v>38</v>
      </c>
      <c r="R162" t="str">
        <f t="shared" si="17"/>
        <v>GLA-A2</v>
      </c>
      <c r="S162" s="1">
        <v>46057</v>
      </c>
    </row>
    <row r="163" spans="1:19">
      <c r="A163" t="s">
        <v>539</v>
      </c>
      <c r="B163" t="s">
        <v>540</v>
      </c>
      <c r="C163" t="str">
        <f t="shared" si="12"/>
        <v>EC-ELE-0162</v>
      </c>
      <c r="D163" t="s">
        <v>541</v>
      </c>
      <c r="E163" t="str">
        <f t="shared" si="13"/>
        <v>Morrow Pro Laptop Stand</v>
      </c>
      <c r="F163" t="s">
        <v>763</v>
      </c>
      <c r="G163" t="str">
        <f t="shared" si="14"/>
        <v>Electronics</v>
      </c>
      <c r="H163" t="s">
        <v>48</v>
      </c>
      <c r="I163" t="str" cm="1">
        <f t="array" ref="I163">PROPER(IF(TRIM(H163)&lt;&gt;"",TRIM(H163),IFERROR(INDEX('Brand Reference'!$A$2:$A$13,MATCH(TRUE,ISNUMBER(SEARCH('Brand Reference'!$A$2:$A$13,E163)),0)),"Unknown")))</f>
        <v>Morrow</v>
      </c>
      <c r="J163" t="s">
        <v>59</v>
      </c>
      <c r="K163" t="str">
        <f t="shared" si="15"/>
        <v>Bluegate Distribution</v>
      </c>
      <c r="L163" s="4">
        <v>81.45</v>
      </c>
      <c r="M163">
        <v>154.38</v>
      </c>
      <c r="N163" s="4">
        <f t="shared" si="16"/>
        <v>154.38</v>
      </c>
      <c r="O163" s="6">
        <v>256</v>
      </c>
      <c r="P163" s="6">
        <v>15</v>
      </c>
      <c r="Q163" t="s">
        <v>44</v>
      </c>
      <c r="R163" t="str">
        <f t="shared" si="17"/>
        <v>BHM-C3</v>
      </c>
      <c r="S163" s="1">
        <v>46253</v>
      </c>
    </row>
    <row r="164" spans="1:19">
      <c r="A164" t="s">
        <v>542</v>
      </c>
      <c r="B164" t="s">
        <v>543</v>
      </c>
      <c r="C164" t="str">
        <f t="shared" si="12"/>
        <v>EC-ACC-0163</v>
      </c>
      <c r="D164" t="s">
        <v>544</v>
      </c>
      <c r="E164" t="str">
        <f t="shared" si="13"/>
        <v>Brightline Pro Phone Case - Rose</v>
      </c>
      <c r="F164" t="s">
        <v>42</v>
      </c>
      <c r="G164" t="str">
        <f t="shared" si="14"/>
        <v>Accessories</v>
      </c>
      <c r="H164" t="s">
        <v>184</v>
      </c>
      <c r="I164" t="str" cm="1">
        <f t="array" ref="I164">PROPER(IF(TRIM(H164)&lt;&gt;"",TRIM(H164),IFERROR(INDEX('Brand Reference'!$A$2:$A$13,MATCH(TRUE,ISNUMBER(SEARCH('Brand Reference'!$A$2:$A$13,E164)),0)),"Unknown")))</f>
        <v>Brightline</v>
      </c>
      <c r="J164" t="s">
        <v>101</v>
      </c>
      <c r="K164" t="str">
        <f t="shared" si="15"/>
        <v>Aster Wholesale Ltd</v>
      </c>
      <c r="L164" s="4">
        <v>73.400000000000006</v>
      </c>
      <c r="M164">
        <v>101.88</v>
      </c>
      <c r="N164" s="4">
        <f t="shared" si="16"/>
        <v>101.88</v>
      </c>
      <c r="O164" s="6">
        <v>218</v>
      </c>
      <c r="P164" s="6">
        <v>20</v>
      </c>
      <c r="Q164" t="s">
        <v>20</v>
      </c>
      <c r="R164" t="str">
        <f t="shared" si="17"/>
        <v>LON-A1</v>
      </c>
      <c r="S164" s="1">
        <v>45936</v>
      </c>
    </row>
    <row r="165" spans="1:19">
      <c r="A165" t="s">
        <v>545</v>
      </c>
      <c r="B165" t="s">
        <v>546</v>
      </c>
      <c r="C165" t="str">
        <f t="shared" si="12"/>
        <v>EC-HOM-0164</v>
      </c>
      <c r="D165" t="s">
        <v>547</v>
      </c>
      <c r="E165" t="str">
        <f t="shared" si="13"/>
        <v>PixelWorks Studio Travel Mug</v>
      </c>
      <c r="F165" t="s">
        <v>30</v>
      </c>
      <c r="G165" t="str">
        <f t="shared" si="14"/>
        <v>Home &amp; Office</v>
      </c>
      <c r="H165" t="s">
        <v>738</v>
      </c>
      <c r="I165" t="str" cm="1">
        <f t="array" ref="I165">PROPER(IF(TRIM(H165)&lt;&gt;"",TRIM(H165),IFERROR(INDEX('Brand Reference'!$A$2:$A$13,MATCH(TRUE,ISNUMBER(SEARCH('Brand Reference'!$A$2:$A$13,E165)),0)),"Unknown")))</f>
        <v>Pixelworks</v>
      </c>
      <c r="J165" t="s">
        <v>101</v>
      </c>
      <c r="K165" t="str">
        <f t="shared" si="15"/>
        <v>Aster Wholesale Ltd</v>
      </c>
      <c r="L165" s="4">
        <v>70.77</v>
      </c>
      <c r="M165">
        <v>140.12</v>
      </c>
      <c r="N165" s="4">
        <f t="shared" si="16"/>
        <v>140.12</v>
      </c>
      <c r="O165" s="6">
        <v>184</v>
      </c>
      <c r="P165" s="6">
        <v>20</v>
      </c>
      <c r="Q165" t="s">
        <v>20</v>
      </c>
      <c r="R165" t="str">
        <f t="shared" si="17"/>
        <v>LON-A1</v>
      </c>
      <c r="S165" s="1">
        <v>45966</v>
      </c>
    </row>
    <row r="166" spans="1:19">
      <c r="A166" t="s">
        <v>548</v>
      </c>
      <c r="B166" t="s">
        <v>549</v>
      </c>
      <c r="C166" t="str">
        <f t="shared" si="12"/>
        <v>EC-ACC-0165</v>
      </c>
      <c r="D166" t="s">
        <v>550</v>
      </c>
      <c r="E166" t="str">
        <f t="shared" si="13"/>
        <v>Kindred Travel Canvas Tote Bag - Rose</v>
      </c>
      <c r="F166" t="s">
        <v>42</v>
      </c>
      <c r="G166" t="str">
        <f t="shared" si="14"/>
        <v>Accessories</v>
      </c>
      <c r="H166" t="s">
        <v>31</v>
      </c>
      <c r="I166" t="str" cm="1">
        <f t="array" ref="I166">PROPER(IF(TRIM(H166)&lt;&gt;"",TRIM(H166),IFERROR(INDEX('Brand Reference'!$A$2:$A$13,MATCH(TRUE,ISNUMBER(SEARCH('Brand Reference'!$A$2:$A$13,E166)),0)),"Unknown")))</f>
        <v>Kindred</v>
      </c>
      <c r="J166" t="s">
        <v>19</v>
      </c>
      <c r="K166" t="str">
        <f t="shared" si="15"/>
        <v>Dovetail Trading Co.</v>
      </c>
      <c r="L166" s="4">
        <v>25.74</v>
      </c>
      <c r="M166">
        <v>38.06</v>
      </c>
      <c r="N166" s="4">
        <f t="shared" si="16"/>
        <v>38.06</v>
      </c>
      <c r="O166" s="6">
        <v>0</v>
      </c>
      <c r="P166" s="6">
        <v>10</v>
      </c>
      <c r="Q166" t="s">
        <v>20</v>
      </c>
      <c r="R166" t="str">
        <f t="shared" si="17"/>
        <v>LON-A1</v>
      </c>
      <c r="S166" s="1">
        <v>45716</v>
      </c>
    </row>
    <row r="167" spans="1:19">
      <c r="A167" t="s">
        <v>551</v>
      </c>
      <c r="B167" t="s">
        <v>552</v>
      </c>
      <c r="C167" t="str">
        <f t="shared" si="12"/>
        <v>EC-ACC-0166</v>
      </c>
      <c r="D167" t="s">
        <v>553</v>
      </c>
      <c r="E167" t="str">
        <f t="shared" si="13"/>
        <v>Northstar Pro Backpack</v>
      </c>
      <c r="F167" t="s">
        <v>42</v>
      </c>
      <c r="G167" t="str">
        <f t="shared" si="14"/>
        <v>Accessories</v>
      </c>
      <c r="H167" t="s">
        <v>83</v>
      </c>
      <c r="I167" t="str" cm="1">
        <f t="array" ref="I167">PROPER(IF(TRIM(H167)&lt;&gt;"",TRIM(H167),IFERROR(INDEX('Brand Reference'!$A$2:$A$13,MATCH(TRUE,ISNUMBER(SEARCH('Brand Reference'!$A$2:$A$13,E167)),0)),"Unknown")))</f>
        <v>Northstar</v>
      </c>
      <c r="J167" t="s">
        <v>59</v>
      </c>
      <c r="K167" t="str">
        <f t="shared" si="15"/>
        <v>Bluegate Distribution</v>
      </c>
      <c r="L167" s="4">
        <v>71.180000000000007</v>
      </c>
      <c r="M167">
        <v>166.26</v>
      </c>
      <c r="N167" s="4">
        <f t="shared" si="16"/>
        <v>166.26</v>
      </c>
      <c r="O167" s="6">
        <v>36</v>
      </c>
      <c r="P167" s="6">
        <v>25</v>
      </c>
      <c r="Q167" t="s">
        <v>20</v>
      </c>
      <c r="R167" t="str">
        <f t="shared" si="17"/>
        <v>LON-A1</v>
      </c>
      <c r="S167" s="1">
        <v>46154</v>
      </c>
    </row>
    <row r="168" spans="1:19">
      <c r="A168" t="s">
        <v>554</v>
      </c>
      <c r="B168" t="s">
        <v>555</v>
      </c>
      <c r="C168" t="str">
        <f t="shared" si="12"/>
        <v>EC-ELE-0167</v>
      </c>
      <c r="D168" t="s">
        <v>556</v>
      </c>
      <c r="E168" t="str">
        <f t="shared" si="13"/>
        <v>Everyday Co. Studio Laptop Stand</v>
      </c>
      <c r="F168" t="s">
        <v>17</v>
      </c>
      <c r="G168" t="str">
        <f t="shared" si="14"/>
        <v>Electronics</v>
      </c>
      <c r="I168" t="str" cm="1">
        <f t="array" ref="I168">PROPER(IF(TRIM(H168)&lt;&gt;"",TRIM(H168),IFERROR(INDEX('Brand Reference'!$A$2:$A$13,MATCH(TRUE,ISNUMBER(SEARCH('Brand Reference'!$A$2:$A$13,E168)),0)),"Unknown")))</f>
        <v>Everyday Co.</v>
      </c>
      <c r="J168" t="s">
        <v>159</v>
      </c>
      <c r="K168" t="str">
        <f t="shared" si="15"/>
        <v>Foxbridge Partners</v>
      </c>
      <c r="L168" s="4">
        <v>80.489999999999995</v>
      </c>
      <c r="M168">
        <v>191.78</v>
      </c>
      <c r="N168" s="4">
        <f t="shared" si="16"/>
        <v>191.78</v>
      </c>
      <c r="O168" s="6">
        <v>158</v>
      </c>
      <c r="P168" s="6">
        <v>30</v>
      </c>
      <c r="Q168" t="s">
        <v>20</v>
      </c>
      <c r="R168" t="str">
        <f t="shared" si="17"/>
        <v>LON-A1</v>
      </c>
      <c r="S168" s="1">
        <v>45424</v>
      </c>
    </row>
    <row r="169" spans="1:19">
      <c r="A169" t="s">
        <v>557</v>
      </c>
      <c r="B169" t="s">
        <v>558</v>
      </c>
      <c r="C169" t="str">
        <f t="shared" si="12"/>
        <v>EC-BEA-0168</v>
      </c>
      <c r="D169" t="s">
        <v>559</v>
      </c>
      <c r="E169" t="str">
        <f t="shared" si="13"/>
        <v>PixelWorks Plus Shampoo</v>
      </c>
      <c r="F169" t="s">
        <v>54</v>
      </c>
      <c r="G169" t="str">
        <f t="shared" si="14"/>
        <v>Beauty</v>
      </c>
      <c r="H169" t="s">
        <v>735</v>
      </c>
      <c r="I169" t="str" cm="1">
        <f t="array" ref="I169">PROPER(IF(TRIM(H169)&lt;&gt;"",TRIM(H169),IFERROR(INDEX('Brand Reference'!$A$2:$A$13,MATCH(TRUE,ISNUMBER(SEARCH('Brand Reference'!$A$2:$A$13,E169)),0)),"Unknown")))</f>
        <v>Pixelworks</v>
      </c>
      <c r="J169" t="s">
        <v>25</v>
      </c>
      <c r="K169" t="str">
        <f t="shared" si="15"/>
        <v>Everwell Supply</v>
      </c>
      <c r="L169" s="4">
        <v>54.78</v>
      </c>
      <c r="M169">
        <v>119.59</v>
      </c>
      <c r="N169" s="4">
        <f t="shared" si="16"/>
        <v>119.59</v>
      </c>
      <c r="O169" s="6">
        <v>25</v>
      </c>
      <c r="P169" s="6">
        <v>12</v>
      </c>
      <c r="Q169" t="s">
        <v>38</v>
      </c>
      <c r="R169" t="str">
        <f t="shared" si="17"/>
        <v>GLA-A2</v>
      </c>
      <c r="S169" s="1">
        <v>46011</v>
      </c>
    </row>
    <row r="170" spans="1:19">
      <c r="A170" t="s">
        <v>560</v>
      </c>
      <c r="B170" t="s">
        <v>561</v>
      </c>
      <c r="C170" t="str">
        <f t="shared" si="12"/>
        <v>EC-ELE-0169</v>
      </c>
      <c r="D170" t="s">
        <v>562</v>
      </c>
      <c r="E170" t="str">
        <f t="shared" si="13"/>
        <v>Nova Supply Studio Bluetooth Speaker</v>
      </c>
      <c r="F170" t="s">
        <v>17</v>
      </c>
      <c r="G170" t="str">
        <f t="shared" si="14"/>
        <v>Electronics</v>
      </c>
      <c r="H170" t="s">
        <v>805</v>
      </c>
      <c r="I170" t="str" cm="1">
        <f t="array" ref="I170">PROPER(IF(TRIM(H170)&lt;&gt;"",TRIM(H170),IFERROR(INDEX('Brand Reference'!$A$2:$A$13,MATCH(TRUE,ISNUMBER(SEARCH('Brand Reference'!$A$2:$A$13,E170)),0)),"Unknown")))</f>
        <v>Nova Supply</v>
      </c>
      <c r="J170" t="s">
        <v>32</v>
      </c>
      <c r="K170" t="str">
        <f t="shared" si="15"/>
        <v>Juniper Merchants</v>
      </c>
      <c r="L170" s="4">
        <v>71.900000000000006</v>
      </c>
      <c r="M170">
        <v>140.57</v>
      </c>
      <c r="N170" s="4">
        <f t="shared" si="16"/>
        <v>140.57</v>
      </c>
      <c r="O170" s="6">
        <v>258</v>
      </c>
      <c r="P170" s="6">
        <v>5</v>
      </c>
      <c r="Q170" t="s">
        <v>784</v>
      </c>
      <c r="R170" t="str">
        <f t="shared" si="17"/>
        <v>GLA-A2</v>
      </c>
      <c r="S170" s="1">
        <v>45872</v>
      </c>
    </row>
    <row r="171" spans="1:19">
      <c r="A171" t="s">
        <v>563</v>
      </c>
      <c r="B171" t="s">
        <v>564</v>
      </c>
      <c r="C171" t="str">
        <f t="shared" si="12"/>
        <v>EC-APP-0170</v>
      </c>
      <c r="D171" t="s">
        <v>565</v>
      </c>
      <c r="E171" t="str">
        <f t="shared" si="13"/>
        <v>Everyday Co. Pro Hoodie - Navy</v>
      </c>
      <c r="F171" t="s">
        <v>198</v>
      </c>
      <c r="G171" t="str">
        <f t="shared" si="14"/>
        <v>Apparel</v>
      </c>
      <c r="H171" t="s">
        <v>800</v>
      </c>
      <c r="I171" t="str" cm="1">
        <f t="array" ref="I171">PROPER(IF(TRIM(H171)&lt;&gt;"",TRIM(H171),IFERROR(INDEX('Brand Reference'!$A$2:$A$13,MATCH(TRUE,ISNUMBER(SEARCH('Brand Reference'!$A$2:$A$13,E171)),0)),"Unknown")))</f>
        <v>Everyday Co.</v>
      </c>
      <c r="J171" t="s">
        <v>59</v>
      </c>
      <c r="K171" t="str">
        <f t="shared" si="15"/>
        <v>Bluegate Distribution</v>
      </c>
      <c r="L171" s="4">
        <v>54.05</v>
      </c>
      <c r="M171">
        <v>85.78</v>
      </c>
      <c r="N171" s="4">
        <f t="shared" si="16"/>
        <v>85.78</v>
      </c>
      <c r="O171" s="6">
        <v>195</v>
      </c>
      <c r="P171" s="6">
        <v>40</v>
      </c>
      <c r="Q171" t="s">
        <v>44</v>
      </c>
      <c r="R171" t="str">
        <f t="shared" si="17"/>
        <v>BHM-C3</v>
      </c>
      <c r="S171" s="1">
        <v>45945</v>
      </c>
    </row>
    <row r="172" spans="1:19">
      <c r="A172" t="s">
        <v>566</v>
      </c>
      <c r="B172" t="s">
        <v>567</v>
      </c>
      <c r="C172" t="str">
        <f t="shared" si="12"/>
        <v>EC-FIT-0171</v>
      </c>
      <c r="D172" t="s">
        <v>568</v>
      </c>
      <c r="E172" t="str">
        <f t="shared" si="13"/>
        <v>Oak &amp; Ember Premium Resistance Bands</v>
      </c>
      <c r="F172" t="s">
        <v>827</v>
      </c>
      <c r="G172" t="str">
        <f t="shared" si="14"/>
        <v>Fitness</v>
      </c>
      <c r="H172" t="s">
        <v>64</v>
      </c>
      <c r="I172" t="str" cm="1">
        <f t="array" ref="I172">PROPER(IF(TRIM(H172)&lt;&gt;"",TRIM(H172),IFERROR(INDEX('Brand Reference'!$A$2:$A$13,MATCH(TRUE,ISNUMBER(SEARCH('Brand Reference'!$A$2:$A$13,E172)),0)),"Unknown")))</f>
        <v>Oak &amp; Ember</v>
      </c>
      <c r="J172" t="s">
        <v>32</v>
      </c>
      <c r="K172" t="str">
        <f t="shared" si="15"/>
        <v>Juniper Merchants</v>
      </c>
      <c r="L172" s="4">
        <v>24.19</v>
      </c>
      <c r="M172">
        <v>51.78</v>
      </c>
      <c r="N172" s="4">
        <f t="shared" si="16"/>
        <v>51.78</v>
      </c>
      <c r="O172" s="6">
        <v>5</v>
      </c>
      <c r="P172" s="6">
        <v>25</v>
      </c>
      <c r="Q172" t="s">
        <v>38</v>
      </c>
      <c r="R172" t="str">
        <f t="shared" si="17"/>
        <v>GLA-A2</v>
      </c>
      <c r="S172" s="1">
        <v>45838</v>
      </c>
    </row>
    <row r="173" spans="1:19">
      <c r="A173" t="s">
        <v>569</v>
      </c>
      <c r="B173" t="s">
        <v>570</v>
      </c>
      <c r="C173" t="str">
        <f t="shared" si="12"/>
        <v>EC-HOM-0172</v>
      </c>
      <c r="D173" t="s">
        <v>828</v>
      </c>
      <c r="E173" t="str">
        <f t="shared" si="13"/>
        <v>PixelWorks Mini LED Strip Lights</v>
      </c>
      <c r="F173" t="s">
        <v>30</v>
      </c>
      <c r="G173" t="str">
        <f t="shared" si="14"/>
        <v>Home &amp; Office</v>
      </c>
      <c r="H173" t="s">
        <v>738</v>
      </c>
      <c r="I173" t="str" cm="1">
        <f t="array" ref="I173">PROPER(IF(TRIM(H173)&lt;&gt;"",TRIM(H173),IFERROR(INDEX('Brand Reference'!$A$2:$A$13,MATCH(TRUE,ISNUMBER(SEARCH('Brand Reference'!$A$2:$A$13,E173)),0)),"Unknown")))</f>
        <v>Pixelworks</v>
      </c>
      <c r="J173" t="s">
        <v>49</v>
      </c>
      <c r="K173" t="str">
        <f t="shared" si="15"/>
        <v>Ivory Peak Logistics</v>
      </c>
      <c r="L173" s="4">
        <v>77.91</v>
      </c>
      <c r="M173">
        <v>169.39</v>
      </c>
      <c r="N173" s="4">
        <f t="shared" si="16"/>
        <v>169.39</v>
      </c>
      <c r="O173" s="6">
        <v>70</v>
      </c>
      <c r="P173" s="6">
        <v>25</v>
      </c>
      <c r="Q173" t="s">
        <v>780</v>
      </c>
      <c r="R173" t="str">
        <f t="shared" si="17"/>
        <v>MAN-A1</v>
      </c>
      <c r="S173" s="1">
        <v>45663</v>
      </c>
    </row>
    <row r="174" spans="1:19">
      <c r="A174" t="s">
        <v>572</v>
      </c>
      <c r="B174" t="s">
        <v>829</v>
      </c>
      <c r="C174" t="str">
        <f t="shared" si="12"/>
        <v>EC-ACC-0173</v>
      </c>
      <c r="D174" t="s">
        <v>574</v>
      </c>
      <c r="E174" t="str">
        <f t="shared" si="13"/>
        <v>Everyday Co. Travel Backpack</v>
      </c>
      <c r="F174" t="s">
        <v>42</v>
      </c>
      <c r="G174" t="str">
        <f t="shared" si="14"/>
        <v>Accessories</v>
      </c>
      <c r="H174" t="s">
        <v>24</v>
      </c>
      <c r="I174" t="str" cm="1">
        <f t="array" ref="I174">PROPER(IF(TRIM(H174)&lt;&gt;"",TRIM(H174),IFERROR(INDEX('Brand Reference'!$A$2:$A$13,MATCH(TRUE,ISNUMBER(SEARCH('Brand Reference'!$A$2:$A$13,E174)),0)),"Unknown")))</f>
        <v>Everyday Co.</v>
      </c>
      <c r="J174" t="s">
        <v>159</v>
      </c>
      <c r="K174" t="str">
        <f t="shared" si="15"/>
        <v>Foxbridge Partners</v>
      </c>
      <c r="L174" s="4">
        <v>23.87</v>
      </c>
      <c r="M174">
        <v>49.16</v>
      </c>
      <c r="N174" s="4">
        <f t="shared" si="16"/>
        <v>49.16</v>
      </c>
      <c r="O174" s="6">
        <v>204</v>
      </c>
      <c r="P174" s="6">
        <v>10</v>
      </c>
      <c r="Q174" t="s">
        <v>44</v>
      </c>
      <c r="R174" t="str">
        <f t="shared" si="17"/>
        <v>BHM-C3</v>
      </c>
      <c r="S174" s="1">
        <v>45735</v>
      </c>
    </row>
    <row r="175" spans="1:19">
      <c r="A175" t="s">
        <v>575</v>
      </c>
      <c r="B175" t="s">
        <v>576</v>
      </c>
      <c r="C175" t="str">
        <f t="shared" si="12"/>
        <v>EC-ELE-0174</v>
      </c>
      <c r="D175" t="s">
        <v>577</v>
      </c>
      <c r="E175" t="str">
        <f t="shared" si="13"/>
        <v>Harbour &amp; Hill Studio USB-C Hub - Sage</v>
      </c>
      <c r="F175" t="s">
        <v>17</v>
      </c>
      <c r="G175" t="str">
        <f t="shared" si="14"/>
        <v>Electronics</v>
      </c>
      <c r="H175" t="s">
        <v>55</v>
      </c>
      <c r="I175" t="str" cm="1">
        <f t="array" ref="I175">PROPER(IF(TRIM(H175)&lt;&gt;"",TRIM(H175),IFERROR(INDEX('Brand Reference'!$A$2:$A$13,MATCH(TRUE,ISNUMBER(SEARCH('Brand Reference'!$A$2:$A$13,E175)),0)),"Unknown")))</f>
        <v>Harbour &amp; Hill</v>
      </c>
      <c r="J175" t="s">
        <v>19</v>
      </c>
      <c r="K175" t="str">
        <f t="shared" si="15"/>
        <v>Dovetail Trading Co.</v>
      </c>
      <c r="L175" s="4">
        <v>55.9</v>
      </c>
      <c r="M175">
        <v>115.14</v>
      </c>
      <c r="N175" s="4">
        <f t="shared" si="16"/>
        <v>115.14</v>
      </c>
      <c r="O175" s="6">
        <v>61</v>
      </c>
      <c r="P175" s="6">
        <v>20</v>
      </c>
      <c r="Q175" t="s">
        <v>20</v>
      </c>
      <c r="R175" t="str">
        <f t="shared" si="17"/>
        <v>LON-A1</v>
      </c>
      <c r="S175" s="1">
        <v>45720</v>
      </c>
    </row>
    <row r="176" spans="1:19">
      <c r="A176" t="s">
        <v>578</v>
      </c>
      <c r="B176" t="s">
        <v>579</v>
      </c>
      <c r="C176" t="str">
        <f t="shared" si="12"/>
        <v>EC-HEA-0175</v>
      </c>
      <c r="D176" t="s">
        <v>830</v>
      </c>
      <c r="E176" t="str">
        <f t="shared" si="13"/>
        <v>Everyday Co. Pro First Aid Kit</v>
      </c>
      <c r="F176" t="s">
        <v>831</v>
      </c>
      <c r="G176" t="str">
        <f t="shared" si="14"/>
        <v>Health</v>
      </c>
      <c r="H176" t="s">
        <v>24</v>
      </c>
      <c r="I176" t="str" cm="1">
        <f t="array" ref="I176">PROPER(IF(TRIM(H176)&lt;&gt;"",TRIM(H176),IFERROR(INDEX('Brand Reference'!$A$2:$A$13,MATCH(TRUE,ISNUMBER(SEARCH('Brand Reference'!$A$2:$A$13,E176)),0)),"Unknown")))</f>
        <v>Everyday Co.</v>
      </c>
      <c r="J176" t="s">
        <v>806</v>
      </c>
      <c r="K176" t="str">
        <f t="shared" si="15"/>
        <v>Ivory Peak Logistics</v>
      </c>
      <c r="L176" s="4">
        <v>42.93</v>
      </c>
      <c r="M176">
        <v>79.69</v>
      </c>
      <c r="N176" s="4">
        <f t="shared" si="16"/>
        <v>79.69</v>
      </c>
      <c r="O176" s="6">
        <v>227</v>
      </c>
      <c r="P176" s="6">
        <v>30</v>
      </c>
      <c r="Q176" t="s">
        <v>38</v>
      </c>
      <c r="R176" t="str">
        <f t="shared" si="17"/>
        <v>GLA-A2</v>
      </c>
      <c r="S176" s="1">
        <v>45690</v>
      </c>
    </row>
    <row r="177" spans="1:19">
      <c r="A177" t="s">
        <v>581</v>
      </c>
      <c r="B177" t="s">
        <v>832</v>
      </c>
      <c r="C177" t="str">
        <f t="shared" si="12"/>
        <v>EC-ACC-0176</v>
      </c>
      <c r="D177" t="s">
        <v>583</v>
      </c>
      <c r="E177" t="str">
        <f t="shared" si="13"/>
        <v>Nova Supply Studio Phone Case</v>
      </c>
      <c r="F177" t="s">
        <v>42</v>
      </c>
      <c r="G177" t="str">
        <f t="shared" si="14"/>
        <v>Accessories</v>
      </c>
      <c r="H177" t="s">
        <v>121</v>
      </c>
      <c r="I177" t="str" cm="1">
        <f t="array" ref="I177">PROPER(IF(TRIM(H177)&lt;&gt;"",TRIM(H177),IFERROR(INDEX('Brand Reference'!$A$2:$A$13,MATCH(TRUE,ISNUMBER(SEARCH('Brand Reference'!$A$2:$A$13,E177)),0)),"Unknown")))</f>
        <v>Nova Supply</v>
      </c>
      <c r="J177" t="s">
        <v>59</v>
      </c>
      <c r="K177" t="str">
        <f t="shared" si="15"/>
        <v>Bluegate Distribution</v>
      </c>
      <c r="L177" s="4">
        <v>27.73</v>
      </c>
      <c r="M177">
        <v>61.7</v>
      </c>
      <c r="N177" s="4">
        <f t="shared" si="16"/>
        <v>61.7</v>
      </c>
      <c r="P177" s="6">
        <v>10</v>
      </c>
      <c r="Q177" t="s">
        <v>97</v>
      </c>
      <c r="R177" t="str">
        <f t="shared" si="17"/>
        <v>LON-B2</v>
      </c>
      <c r="S177" s="1">
        <v>46174</v>
      </c>
    </row>
    <row r="178" spans="1:19">
      <c r="A178" t="s">
        <v>584</v>
      </c>
      <c r="B178" t="s">
        <v>585</v>
      </c>
      <c r="C178" t="str">
        <f t="shared" si="12"/>
        <v>EC-APP-0177</v>
      </c>
      <c r="D178" t="s">
        <v>586</v>
      </c>
      <c r="E178" t="str">
        <f t="shared" si="13"/>
        <v>Northstar Deluxe Running Socks</v>
      </c>
      <c r="F178" t="s">
        <v>198</v>
      </c>
      <c r="G178" t="str">
        <f t="shared" si="14"/>
        <v>Apparel</v>
      </c>
      <c r="H178" t="s">
        <v>83</v>
      </c>
      <c r="I178" t="str" cm="1">
        <f t="array" ref="I178">PROPER(IF(TRIM(H178)&lt;&gt;"",TRIM(H178),IFERROR(INDEX('Brand Reference'!$A$2:$A$13,MATCH(TRUE,ISNUMBER(SEARCH('Brand Reference'!$A$2:$A$13,E178)),0)),"Unknown")))</f>
        <v>Northstar</v>
      </c>
      <c r="J178" t="s">
        <v>25</v>
      </c>
      <c r="K178" t="str">
        <f t="shared" si="15"/>
        <v>Everwell Supply</v>
      </c>
      <c r="L178" s="4">
        <v>37.24</v>
      </c>
      <c r="M178">
        <v>59.6</v>
      </c>
      <c r="N178" s="4">
        <f t="shared" si="16"/>
        <v>59.6</v>
      </c>
      <c r="O178" s="6">
        <v>138</v>
      </c>
      <c r="P178" s="6">
        <v>15</v>
      </c>
      <c r="Q178" t="s">
        <v>50</v>
      </c>
      <c r="R178" t="str">
        <f t="shared" si="17"/>
        <v>LDS-B1</v>
      </c>
      <c r="S178" s="1">
        <v>46031</v>
      </c>
    </row>
    <row r="179" spans="1:19">
      <c r="A179" t="s">
        <v>587</v>
      </c>
      <c r="B179" t="s">
        <v>588</v>
      </c>
      <c r="C179" t="str">
        <f t="shared" si="12"/>
        <v>EC-ELE-0178</v>
      </c>
      <c r="D179" t="s">
        <v>589</v>
      </c>
      <c r="E179" t="str">
        <f t="shared" si="13"/>
        <v>Cedar Lane Classic Webcam</v>
      </c>
      <c r="F179" t="s">
        <v>17</v>
      </c>
      <c r="G179" t="str">
        <f t="shared" si="14"/>
        <v>Electronics</v>
      </c>
      <c r="H179" t="s">
        <v>146</v>
      </c>
      <c r="I179" t="str" cm="1">
        <f t="array" ref="I179">PROPER(IF(TRIM(H179)&lt;&gt;"",TRIM(H179),IFERROR(INDEX('Brand Reference'!$A$2:$A$13,MATCH(TRUE,ISNUMBER(SEARCH('Brand Reference'!$A$2:$A$13,E179)),0)),"Unknown")))</f>
        <v>Cedar Lane</v>
      </c>
      <c r="J179" t="s">
        <v>25</v>
      </c>
      <c r="K179" t="str">
        <f t="shared" si="15"/>
        <v>Everwell Supply</v>
      </c>
      <c r="L179" s="4">
        <v>31.17</v>
      </c>
      <c r="M179">
        <v>57.11</v>
      </c>
      <c r="N179" s="4">
        <f t="shared" si="16"/>
        <v>57.11</v>
      </c>
      <c r="O179" s="6">
        <v>57</v>
      </c>
      <c r="P179" s="6">
        <v>40</v>
      </c>
      <c r="Q179" t="s">
        <v>50</v>
      </c>
      <c r="R179" t="str">
        <f t="shared" si="17"/>
        <v>LDS-B1</v>
      </c>
      <c r="S179" s="1">
        <v>45589</v>
      </c>
    </row>
    <row r="180" spans="1:19">
      <c r="A180" t="s">
        <v>590</v>
      </c>
      <c r="B180" t="s">
        <v>591</v>
      </c>
      <c r="C180" t="str">
        <f t="shared" si="12"/>
        <v>EC-ACC-0179</v>
      </c>
      <c r="D180" t="s">
        <v>833</v>
      </c>
      <c r="E180" t="str">
        <f t="shared" si="13"/>
        <v>Oak &amp; Ember Compact Phone Case</v>
      </c>
      <c r="F180" t="s">
        <v>42</v>
      </c>
      <c r="G180" t="str">
        <f t="shared" si="14"/>
        <v>Accessories</v>
      </c>
      <c r="H180" t="s">
        <v>834</v>
      </c>
      <c r="I180" t="str" cm="1">
        <f t="array" ref="I180">PROPER(IF(TRIM(H180)&lt;&gt;"",TRIM(H180),IFERROR(INDEX('Brand Reference'!$A$2:$A$13,MATCH(TRUE,ISNUMBER(SEARCH('Brand Reference'!$A$2:$A$13,E180)),0)),"Unknown")))</f>
        <v>Oak &amp; Ember</v>
      </c>
      <c r="J180" t="s">
        <v>25</v>
      </c>
      <c r="K180" t="str">
        <f t="shared" si="15"/>
        <v>Everwell Supply</v>
      </c>
      <c r="L180" s="4">
        <v>84.46</v>
      </c>
      <c r="M180">
        <v>197.31</v>
      </c>
      <c r="N180" s="4">
        <f t="shared" si="16"/>
        <v>197.31</v>
      </c>
      <c r="O180" s="6">
        <v>6</v>
      </c>
      <c r="P180" s="6">
        <v>12</v>
      </c>
      <c r="Q180" t="s">
        <v>784</v>
      </c>
      <c r="R180" t="str">
        <f t="shared" si="17"/>
        <v>GLA-A2</v>
      </c>
      <c r="S180" s="1">
        <v>46316</v>
      </c>
    </row>
    <row r="181" spans="1:19">
      <c r="A181" t="s">
        <v>593</v>
      </c>
      <c r="B181" t="s">
        <v>594</v>
      </c>
      <c r="C181" t="str">
        <f t="shared" si="12"/>
        <v>EC-ELE-0180</v>
      </c>
      <c r="D181" t="s">
        <v>835</v>
      </c>
      <c r="E181" t="str">
        <f t="shared" si="13"/>
        <v>Nova Supply Mini Power Bank - Natural</v>
      </c>
      <c r="F181" t="s">
        <v>17</v>
      </c>
      <c r="G181" t="str">
        <f t="shared" si="14"/>
        <v>Electronics</v>
      </c>
      <c r="H181" t="s">
        <v>121</v>
      </c>
      <c r="I181" t="str" cm="1">
        <f t="array" ref="I181">PROPER(IF(TRIM(H181)&lt;&gt;"",TRIM(H181),IFERROR(INDEX('Brand Reference'!$A$2:$A$13,MATCH(TRUE,ISNUMBER(SEARCH('Brand Reference'!$A$2:$A$13,E181)),0)),"Unknown")))</f>
        <v>Nova Supply</v>
      </c>
      <c r="J181" t="s">
        <v>783</v>
      </c>
      <c r="K181" t="str">
        <f t="shared" si="15"/>
        <v>Harbour Stockists</v>
      </c>
      <c r="L181" s="4">
        <v>15.21</v>
      </c>
      <c r="M181">
        <v>26.68</v>
      </c>
      <c r="N181" s="4">
        <f t="shared" si="16"/>
        <v>26.68</v>
      </c>
      <c r="O181" s="6">
        <v>238</v>
      </c>
      <c r="P181" s="6">
        <v>40</v>
      </c>
      <c r="Q181" t="s">
        <v>758</v>
      </c>
      <c r="R181" t="str">
        <f t="shared" si="17"/>
        <v>BHM-C3</v>
      </c>
      <c r="S181" s="1">
        <v>45422</v>
      </c>
    </row>
    <row r="182" spans="1:19">
      <c r="A182" t="s">
        <v>596</v>
      </c>
      <c r="B182" t="s">
        <v>597</v>
      </c>
      <c r="C182" t="str">
        <f t="shared" si="12"/>
        <v>EC-PET-0181</v>
      </c>
      <c r="D182" t="s">
        <v>598</v>
      </c>
      <c r="E182" t="str">
        <f t="shared" si="13"/>
        <v>Morrow Travel Dog Lead</v>
      </c>
      <c r="F182" t="s">
        <v>63</v>
      </c>
      <c r="G182" t="str">
        <f t="shared" si="14"/>
        <v>Pet Supplies</v>
      </c>
      <c r="H182" t="s">
        <v>48</v>
      </c>
      <c r="I182" t="str" cm="1">
        <f t="array" ref="I182">PROPER(IF(TRIM(H182)&lt;&gt;"",TRIM(H182),IFERROR(INDEX('Brand Reference'!$A$2:$A$13,MATCH(TRUE,ISNUMBER(SEARCH('Brand Reference'!$A$2:$A$13,E182)),0)),"Unknown")))</f>
        <v>Morrow</v>
      </c>
      <c r="J182" t="s">
        <v>49</v>
      </c>
      <c r="K182" t="str">
        <f t="shared" si="15"/>
        <v>Ivory Peak Logistics</v>
      </c>
      <c r="L182" s="4">
        <v>50.8</v>
      </c>
      <c r="M182">
        <v>91.08</v>
      </c>
      <c r="N182" s="4">
        <f t="shared" si="16"/>
        <v>91.08</v>
      </c>
      <c r="O182" s="6">
        <v>61</v>
      </c>
      <c r="P182" s="6">
        <v>40</v>
      </c>
      <c r="Q182" t="s">
        <v>771</v>
      </c>
      <c r="R182" t="str">
        <f t="shared" si="17"/>
        <v>LDS-B1</v>
      </c>
      <c r="S182" s="1">
        <v>46230</v>
      </c>
    </row>
    <row r="183" spans="1:19">
      <c r="A183" t="s">
        <v>599</v>
      </c>
      <c r="B183" t="s">
        <v>600</v>
      </c>
      <c r="C183" t="str">
        <f t="shared" si="12"/>
        <v>EC-FIT-0182</v>
      </c>
      <c r="D183" t="s">
        <v>601</v>
      </c>
      <c r="E183" t="str">
        <f t="shared" si="13"/>
        <v>Morrow Mini Resistance Bands</v>
      </c>
      <c r="F183" t="s">
        <v>87</v>
      </c>
      <c r="G183" t="str">
        <f t="shared" si="14"/>
        <v>Fitness</v>
      </c>
      <c r="H183" t="s">
        <v>48</v>
      </c>
      <c r="I183" t="str" cm="1">
        <f t="array" ref="I183">PROPER(IF(TRIM(H183)&lt;&gt;"",TRIM(H183),IFERROR(INDEX('Brand Reference'!$A$2:$A$13,MATCH(TRUE,ISNUMBER(SEARCH('Brand Reference'!$A$2:$A$13,E183)),0)),"Unknown")))</f>
        <v>Morrow</v>
      </c>
      <c r="K183" t="str">
        <f t="shared" si="15"/>
        <v>Unknown</v>
      </c>
      <c r="L183" s="4">
        <v>64.14</v>
      </c>
      <c r="M183">
        <v>111.95</v>
      </c>
      <c r="N183" s="4">
        <f t="shared" si="16"/>
        <v>111.95</v>
      </c>
      <c r="O183" s="6">
        <v>149</v>
      </c>
      <c r="P183" s="6">
        <v>15</v>
      </c>
      <c r="Q183" t="s">
        <v>20</v>
      </c>
      <c r="R183" t="str">
        <f t="shared" si="17"/>
        <v>LON-A1</v>
      </c>
      <c r="S183" s="1">
        <v>46133</v>
      </c>
    </row>
    <row r="184" spans="1:19">
      <c r="A184" t="s">
        <v>602</v>
      </c>
      <c r="B184" t="s">
        <v>603</v>
      </c>
      <c r="C184" t="str">
        <f t="shared" si="12"/>
        <v>EC-GAR-0183</v>
      </c>
      <c r="D184" t="s">
        <v>604</v>
      </c>
      <c r="E184" t="str">
        <f t="shared" si="13"/>
        <v>Kindred Essential Garden Gloves</v>
      </c>
      <c r="F184" t="s">
        <v>73</v>
      </c>
      <c r="G184" t="str">
        <f t="shared" si="14"/>
        <v>Garden</v>
      </c>
      <c r="H184" t="s">
        <v>31</v>
      </c>
      <c r="I184" t="str" cm="1">
        <f t="array" ref="I184">PROPER(IF(TRIM(H184)&lt;&gt;"",TRIM(H184),IFERROR(INDEX('Brand Reference'!$A$2:$A$13,MATCH(TRUE,ISNUMBER(SEARCH('Brand Reference'!$A$2:$A$13,E184)),0)),"Unknown")))</f>
        <v>Kindred</v>
      </c>
      <c r="J184" t="s">
        <v>59</v>
      </c>
      <c r="K184" t="str">
        <f t="shared" si="15"/>
        <v>Bluegate Distribution</v>
      </c>
      <c r="L184" s="4">
        <v>7.97</v>
      </c>
      <c r="M184">
        <v>18.59</v>
      </c>
      <c r="N184" s="4">
        <f t="shared" si="16"/>
        <v>18.59</v>
      </c>
      <c r="O184" s="6">
        <v>133</v>
      </c>
      <c r="P184" s="6">
        <v>20</v>
      </c>
      <c r="Q184" t="s">
        <v>44</v>
      </c>
      <c r="R184" t="str">
        <f t="shared" si="17"/>
        <v>BHM-C3</v>
      </c>
      <c r="S184" s="1">
        <v>46224</v>
      </c>
    </row>
    <row r="185" spans="1:19">
      <c r="A185" t="s">
        <v>605</v>
      </c>
      <c r="B185" t="s">
        <v>606</v>
      </c>
      <c r="C185" t="str">
        <f t="shared" si="12"/>
        <v>EC-APP-0184</v>
      </c>
      <c r="D185" t="s">
        <v>607</v>
      </c>
      <c r="E185" t="str">
        <f t="shared" si="13"/>
        <v>Cedar Lane Everyday Running Socks</v>
      </c>
      <c r="F185" t="s">
        <v>198</v>
      </c>
      <c r="G185" t="str">
        <f t="shared" si="14"/>
        <v>Apparel</v>
      </c>
      <c r="H185" t="s">
        <v>803</v>
      </c>
      <c r="I185" t="str" cm="1">
        <f t="array" ref="I185">PROPER(IF(TRIM(H185)&lt;&gt;"",TRIM(H185),IFERROR(INDEX('Brand Reference'!$A$2:$A$13,MATCH(TRUE,ISNUMBER(SEARCH('Brand Reference'!$A$2:$A$13,E185)),0)),"Unknown")))</f>
        <v>Cedar Lane</v>
      </c>
      <c r="J185" t="s">
        <v>74</v>
      </c>
      <c r="K185" t="str">
        <f t="shared" si="15"/>
        <v>Harbour Stockists</v>
      </c>
      <c r="L185" s="4">
        <v>5.68</v>
      </c>
      <c r="M185">
        <v>8.92</v>
      </c>
      <c r="N185" s="4">
        <f t="shared" si="16"/>
        <v>8.92</v>
      </c>
      <c r="O185" s="6">
        <v>6</v>
      </c>
      <c r="P185" s="6">
        <v>10</v>
      </c>
      <c r="Q185" t="s">
        <v>97</v>
      </c>
      <c r="R185" t="str">
        <f t="shared" si="17"/>
        <v>LON-B2</v>
      </c>
      <c r="S185" s="1">
        <v>45468</v>
      </c>
    </row>
    <row r="186" spans="1:19">
      <c r="A186" t="s">
        <v>608</v>
      </c>
      <c r="B186" t="s">
        <v>609</v>
      </c>
      <c r="C186" t="str">
        <f t="shared" si="12"/>
        <v>EC-HEA-0185</v>
      </c>
      <c r="D186" t="s">
        <v>610</v>
      </c>
      <c r="E186" t="str">
        <f t="shared" si="13"/>
        <v>Northstar Everyday First Aid Kit</v>
      </c>
      <c r="F186" t="s">
        <v>289</v>
      </c>
      <c r="G186" t="str">
        <f t="shared" si="14"/>
        <v>Health</v>
      </c>
      <c r="H186" t="s">
        <v>83</v>
      </c>
      <c r="I186" t="str" cm="1">
        <f t="array" ref="I186">PROPER(IF(TRIM(H186)&lt;&gt;"",TRIM(H186),IFERROR(INDEX('Brand Reference'!$A$2:$A$13,MATCH(TRUE,ISNUMBER(SEARCH('Brand Reference'!$A$2:$A$13,E186)),0)),"Unknown")))</f>
        <v>Northstar</v>
      </c>
      <c r="J186" t="s">
        <v>49</v>
      </c>
      <c r="K186" t="str">
        <f t="shared" si="15"/>
        <v>Ivory Peak Logistics</v>
      </c>
      <c r="L186" s="4">
        <v>4.79</v>
      </c>
      <c r="M186">
        <v>9.26</v>
      </c>
      <c r="N186" s="4">
        <f t="shared" si="16"/>
        <v>9.26</v>
      </c>
      <c r="O186" s="6">
        <v>243</v>
      </c>
      <c r="P186" s="6">
        <v>40</v>
      </c>
      <c r="Q186" t="s">
        <v>780</v>
      </c>
      <c r="R186" t="str">
        <f t="shared" si="17"/>
        <v>MAN-A1</v>
      </c>
      <c r="S186" s="1">
        <v>46248</v>
      </c>
    </row>
    <row r="187" spans="1:19">
      <c r="A187" t="s">
        <v>611</v>
      </c>
      <c r="B187" t="s">
        <v>836</v>
      </c>
      <c r="C187" t="str">
        <f t="shared" si="12"/>
        <v>EC-FIT-0186</v>
      </c>
      <c r="D187" t="s">
        <v>613</v>
      </c>
      <c r="E187" t="str">
        <f t="shared" si="13"/>
        <v>PixelWorks Essential Yoga Mat - Graphite</v>
      </c>
      <c r="F187" t="s">
        <v>87</v>
      </c>
      <c r="G187" t="str">
        <f t="shared" si="14"/>
        <v>Fitness</v>
      </c>
      <c r="H187" t="s">
        <v>735</v>
      </c>
      <c r="I187" t="str" cm="1">
        <f t="array" ref="I187">PROPER(IF(TRIM(H187)&lt;&gt;"",TRIM(H187),IFERROR(INDEX('Brand Reference'!$A$2:$A$13,MATCH(TRUE,ISNUMBER(SEARCH('Brand Reference'!$A$2:$A$13,E187)),0)),"Unknown")))</f>
        <v>Pixelworks</v>
      </c>
      <c r="J187" t="s">
        <v>49</v>
      </c>
      <c r="K187" t="str">
        <f t="shared" si="15"/>
        <v>Ivory Peak Logistics</v>
      </c>
      <c r="L187" s="4">
        <v>11.4</v>
      </c>
      <c r="M187">
        <v>27.18</v>
      </c>
      <c r="N187" s="4">
        <f t="shared" si="16"/>
        <v>27.18</v>
      </c>
      <c r="O187" s="6">
        <v>197</v>
      </c>
      <c r="P187" s="6">
        <v>12</v>
      </c>
      <c r="Q187" t="s">
        <v>97</v>
      </c>
      <c r="R187" t="str">
        <f t="shared" si="17"/>
        <v>LON-B2</v>
      </c>
      <c r="S187" s="1">
        <v>45729</v>
      </c>
    </row>
    <row r="188" spans="1:19">
      <c r="A188" t="s">
        <v>614</v>
      </c>
      <c r="B188" t="s">
        <v>615</v>
      </c>
      <c r="C188" t="str">
        <f t="shared" si="12"/>
        <v>EC-ACC-0187</v>
      </c>
      <c r="D188" t="s">
        <v>616</v>
      </c>
      <c r="E188" t="str">
        <f t="shared" si="13"/>
        <v>Everyday Co. Essential Sunglasses</v>
      </c>
      <c r="F188" t="s">
        <v>42</v>
      </c>
      <c r="G188" t="str">
        <f t="shared" si="14"/>
        <v>Accessories</v>
      </c>
      <c r="H188" t="s">
        <v>24</v>
      </c>
      <c r="I188" t="str" cm="1">
        <f t="array" ref="I188">PROPER(IF(TRIM(H188)&lt;&gt;"",TRIM(H188),IFERROR(INDEX('Brand Reference'!$A$2:$A$13,MATCH(TRUE,ISNUMBER(SEARCH('Brand Reference'!$A$2:$A$13,E188)),0)),"Unknown")))</f>
        <v>Everyday Co.</v>
      </c>
      <c r="J188" t="s">
        <v>743</v>
      </c>
      <c r="K188" t="str">
        <f t="shared" si="15"/>
        <v>Bluegate Distribution</v>
      </c>
      <c r="L188" s="4">
        <v>12.46</v>
      </c>
      <c r="M188">
        <v>26.84</v>
      </c>
      <c r="N188" s="4">
        <f t="shared" si="16"/>
        <v>26.84</v>
      </c>
      <c r="O188" s="6">
        <v>108</v>
      </c>
      <c r="P188" s="6">
        <v>25</v>
      </c>
      <c r="Q188" t="s">
        <v>26</v>
      </c>
      <c r="R188" t="str">
        <f t="shared" si="17"/>
        <v>MAN-A1</v>
      </c>
      <c r="S188" s="1">
        <v>45536</v>
      </c>
    </row>
    <row r="189" spans="1:19">
      <c r="A189" t="s">
        <v>617</v>
      </c>
      <c r="B189" t="s">
        <v>618</v>
      </c>
      <c r="C189" t="str">
        <f t="shared" si="12"/>
        <v>EC-HOM-0188</v>
      </c>
      <c r="D189" t="s">
        <v>619</v>
      </c>
      <c r="E189" t="str">
        <f t="shared" si="13"/>
        <v>Morrow Eco Water Bottle</v>
      </c>
      <c r="F189" t="s">
        <v>30</v>
      </c>
      <c r="G189" t="str">
        <f t="shared" si="14"/>
        <v>Home &amp; Office</v>
      </c>
      <c r="H189" t="s">
        <v>48</v>
      </c>
      <c r="I189" t="str" cm="1">
        <f t="array" ref="I189">PROPER(IF(TRIM(H189)&lt;&gt;"",TRIM(H189),IFERROR(INDEX('Brand Reference'!$A$2:$A$13,MATCH(TRUE,ISNUMBER(SEARCH('Brand Reference'!$A$2:$A$13,E189)),0)),"Unknown")))</f>
        <v>Morrow</v>
      </c>
      <c r="J189" t="s">
        <v>25</v>
      </c>
      <c r="K189" t="str">
        <f t="shared" si="15"/>
        <v>Everwell Supply</v>
      </c>
      <c r="L189" s="4">
        <v>35.659999999999997</v>
      </c>
      <c r="M189">
        <v>66.989999999999995</v>
      </c>
      <c r="N189" s="4">
        <f t="shared" si="16"/>
        <v>66.989999999999995</v>
      </c>
      <c r="O189" s="6">
        <v>156</v>
      </c>
      <c r="P189" s="6">
        <v>40</v>
      </c>
      <c r="Q189" t="s">
        <v>44</v>
      </c>
      <c r="R189" t="str">
        <f t="shared" si="17"/>
        <v>BHM-C3</v>
      </c>
      <c r="S189" s="1">
        <v>45446</v>
      </c>
    </row>
    <row r="190" spans="1:19">
      <c r="A190" t="s">
        <v>620</v>
      </c>
      <c r="B190" t="s">
        <v>621</v>
      </c>
      <c r="C190" t="str">
        <f t="shared" si="12"/>
        <v>EC-ELE-0189</v>
      </c>
      <c r="D190" t="s">
        <v>622</v>
      </c>
      <c r="E190" t="str">
        <f t="shared" si="13"/>
        <v>Brightline Compact Power Bank</v>
      </c>
      <c r="F190" t="s">
        <v>17</v>
      </c>
      <c r="G190" t="str">
        <f t="shared" si="14"/>
        <v>Electronics</v>
      </c>
      <c r="H190" t="s">
        <v>184</v>
      </c>
      <c r="I190" t="str" cm="1">
        <f t="array" ref="I190">PROPER(IF(TRIM(H190)&lt;&gt;"",TRIM(H190),IFERROR(INDEX('Brand Reference'!$A$2:$A$13,MATCH(TRUE,ISNUMBER(SEARCH('Brand Reference'!$A$2:$A$13,E190)),0)),"Unknown")))</f>
        <v>Brightline</v>
      </c>
      <c r="J190" t="s">
        <v>19</v>
      </c>
      <c r="K190" t="str">
        <f t="shared" si="15"/>
        <v>Dovetail Trading Co.</v>
      </c>
      <c r="L190" s="4">
        <v>24.59</v>
      </c>
      <c r="M190">
        <v>36.869999999999997</v>
      </c>
      <c r="N190" s="4">
        <f t="shared" si="16"/>
        <v>36.869999999999997</v>
      </c>
      <c r="O190" s="6">
        <v>249</v>
      </c>
      <c r="P190" s="6">
        <v>40</v>
      </c>
      <c r="Q190" t="s">
        <v>97</v>
      </c>
      <c r="R190" t="str">
        <f t="shared" si="17"/>
        <v>LON-B2</v>
      </c>
      <c r="S190" s="1">
        <v>45527</v>
      </c>
    </row>
    <row r="191" spans="1:19">
      <c r="A191" t="s">
        <v>623</v>
      </c>
      <c r="B191" t="s">
        <v>624</v>
      </c>
      <c r="C191" t="str">
        <f t="shared" si="12"/>
        <v>EC-ACC-0190</v>
      </c>
      <c r="D191" t="s">
        <v>625</v>
      </c>
      <c r="E191" t="str">
        <f t="shared" si="13"/>
        <v>Oak &amp; Ember Pro Sunglasses</v>
      </c>
      <c r="F191" t="s">
        <v>42</v>
      </c>
      <c r="G191" t="str">
        <f t="shared" si="14"/>
        <v>Accessories</v>
      </c>
      <c r="H191" t="s">
        <v>64</v>
      </c>
      <c r="I191" t="str" cm="1">
        <f t="array" ref="I191">PROPER(IF(TRIM(H191)&lt;&gt;"",TRIM(H191),IFERROR(INDEX('Brand Reference'!$A$2:$A$13,MATCH(TRUE,ISNUMBER(SEARCH('Brand Reference'!$A$2:$A$13,E191)),0)),"Unknown")))</f>
        <v>Oak &amp; Ember</v>
      </c>
      <c r="J191" t="s">
        <v>49</v>
      </c>
      <c r="K191" t="str">
        <f t="shared" si="15"/>
        <v>Ivory Peak Logistics</v>
      </c>
      <c r="L191" s="4">
        <v>70.44</v>
      </c>
      <c r="M191">
        <v>139.37</v>
      </c>
      <c r="N191" s="4">
        <f t="shared" si="16"/>
        <v>139.37</v>
      </c>
      <c r="O191" s="6">
        <v>212</v>
      </c>
      <c r="P191" s="6">
        <v>20</v>
      </c>
      <c r="Q191" t="s">
        <v>97</v>
      </c>
      <c r="R191" t="str">
        <f t="shared" si="17"/>
        <v>LON-B2</v>
      </c>
      <c r="S191" s="1">
        <v>45646</v>
      </c>
    </row>
    <row r="192" spans="1:19">
      <c r="A192" t="s">
        <v>626</v>
      </c>
      <c r="B192" t="s">
        <v>627</v>
      </c>
      <c r="C192" t="str">
        <f t="shared" si="12"/>
        <v>EC-HOM-0191</v>
      </c>
      <c r="D192" t="s">
        <v>628</v>
      </c>
      <c r="E192" t="str">
        <f t="shared" si="13"/>
        <v>Everyday Co. Pro Water Bottle - Silver</v>
      </c>
      <c r="F192" t="s">
        <v>30</v>
      </c>
      <c r="G192" t="str">
        <f t="shared" si="14"/>
        <v>Home &amp; Office</v>
      </c>
      <c r="H192" t="s">
        <v>24</v>
      </c>
      <c r="I192" t="str" cm="1">
        <f t="array" ref="I192">PROPER(IF(TRIM(H192)&lt;&gt;"",TRIM(H192),IFERROR(INDEX('Brand Reference'!$A$2:$A$13,MATCH(TRUE,ISNUMBER(SEARCH('Brand Reference'!$A$2:$A$13,E192)),0)),"Unknown")))</f>
        <v>Everyday Co.</v>
      </c>
      <c r="J192" t="s">
        <v>32</v>
      </c>
      <c r="K192" t="str">
        <f t="shared" si="15"/>
        <v>Juniper Merchants</v>
      </c>
      <c r="L192" s="4">
        <v>49.93</v>
      </c>
      <c r="M192">
        <v>115.8</v>
      </c>
      <c r="N192" s="4">
        <f t="shared" si="16"/>
        <v>115.8</v>
      </c>
      <c r="O192" s="6">
        <v>105</v>
      </c>
      <c r="P192" s="6">
        <v>10</v>
      </c>
      <c r="Q192" t="s">
        <v>26</v>
      </c>
      <c r="R192" t="str">
        <f t="shared" si="17"/>
        <v>MAN-A1</v>
      </c>
      <c r="S192" s="1">
        <v>45885</v>
      </c>
    </row>
    <row r="193" spans="1:19">
      <c r="A193" t="s">
        <v>629</v>
      </c>
      <c r="B193" t="s">
        <v>630</v>
      </c>
      <c r="C193" t="str">
        <f t="shared" si="12"/>
        <v>EC-HOM-0192</v>
      </c>
      <c r="D193" t="s">
        <v>631</v>
      </c>
      <c r="E193" t="str">
        <f t="shared" si="13"/>
        <v>Oak &amp; Ember Compact Travel Mug</v>
      </c>
      <c r="F193" t="s">
        <v>30</v>
      </c>
      <c r="G193" t="str">
        <f t="shared" si="14"/>
        <v>Home &amp; Office</v>
      </c>
      <c r="H193" t="s">
        <v>64</v>
      </c>
      <c r="I193" t="str" cm="1">
        <f t="array" ref="I193">PROPER(IF(TRIM(H193)&lt;&gt;"",TRIM(H193),IFERROR(INDEX('Brand Reference'!$A$2:$A$13,MATCH(TRUE,ISNUMBER(SEARCH('Brand Reference'!$A$2:$A$13,E193)),0)),"Unknown")))</f>
        <v>Oak &amp; Ember</v>
      </c>
      <c r="J193" t="s">
        <v>837</v>
      </c>
      <c r="K193" t="str">
        <f t="shared" si="15"/>
        <v>Foxbridge Partners</v>
      </c>
      <c r="L193" s="4">
        <v>33.85</v>
      </c>
      <c r="M193">
        <v>52</v>
      </c>
      <c r="N193" s="4">
        <f t="shared" si="16"/>
        <v>52</v>
      </c>
      <c r="O193" s="6">
        <v>241</v>
      </c>
      <c r="P193" s="6">
        <v>10</v>
      </c>
      <c r="Q193" t="s">
        <v>50</v>
      </c>
      <c r="R193" t="str">
        <f t="shared" si="17"/>
        <v>LDS-B1</v>
      </c>
      <c r="S193" s="1">
        <v>45571</v>
      </c>
    </row>
    <row r="194" spans="1:19">
      <c r="A194" t="s">
        <v>632</v>
      </c>
      <c r="B194" t="s">
        <v>633</v>
      </c>
      <c r="C194" t="str">
        <f t="shared" ref="C194:C221" si="18">UPPER(TRIM(B194))</f>
        <v>EC-ELE-0193</v>
      </c>
      <c r="D194" t="s">
        <v>634</v>
      </c>
      <c r="E194" t="str">
        <f t="shared" ref="E194:E221" si="19">TRIM(D194)</f>
        <v>Kindred Plus USB-C Hub</v>
      </c>
      <c r="F194" t="s">
        <v>17</v>
      </c>
      <c r="G194" t="str">
        <f t="shared" ref="G194:G221" si="20">PROPER(TRIM(F194))</f>
        <v>Electronics</v>
      </c>
      <c r="H194" t="s">
        <v>31</v>
      </c>
      <c r="I194" t="str" cm="1">
        <f t="array" ref="I194">PROPER(IF(TRIM(H194)&lt;&gt;"",TRIM(H194),IFERROR(INDEX('Brand Reference'!$A$2:$A$13,MATCH(TRUE,ISNUMBER(SEARCH('Brand Reference'!$A$2:$A$13,E194)),0)),"Unknown")))</f>
        <v>Kindred</v>
      </c>
      <c r="J194" t="s">
        <v>37</v>
      </c>
      <c r="K194" t="str">
        <f t="shared" ref="K194:K221" si="21">IF(J194="","Unknown",TRIM(PROPER(J194)))</f>
        <v>Greenway Goods</v>
      </c>
      <c r="L194" s="4">
        <v>34.94</v>
      </c>
      <c r="M194">
        <v>81.36</v>
      </c>
      <c r="N194" s="4">
        <f t="shared" ref="N194:N221" si="22">VALUE(SUBSTITUTE(M194," GBP",""))</f>
        <v>81.36</v>
      </c>
      <c r="O194" s="6">
        <v>40</v>
      </c>
      <c r="P194" s="6">
        <v>30</v>
      </c>
      <c r="Q194" t="s">
        <v>38</v>
      </c>
      <c r="R194" t="str">
        <f t="shared" ref="R194:R221" si="23">UPPER(TRIM(Q194))</f>
        <v>GLA-A2</v>
      </c>
      <c r="S194" s="1">
        <v>45660</v>
      </c>
    </row>
    <row r="195" spans="1:19">
      <c r="A195" t="s">
        <v>635</v>
      </c>
      <c r="B195" t="s">
        <v>636</v>
      </c>
      <c r="C195" t="str">
        <f t="shared" si="18"/>
        <v>EC-GAR-0194</v>
      </c>
      <c r="D195" t="s">
        <v>637</v>
      </c>
      <c r="E195" t="str">
        <f t="shared" si="19"/>
        <v>Brightline Mini Garden Gloves</v>
      </c>
      <c r="F195" t="s">
        <v>73</v>
      </c>
      <c r="G195" t="str">
        <f t="shared" si="20"/>
        <v>Garden</v>
      </c>
      <c r="H195" t="s">
        <v>184</v>
      </c>
      <c r="I195" t="str" cm="1">
        <f t="array" ref="I195">PROPER(IF(TRIM(H195)&lt;&gt;"",TRIM(H195),IFERROR(INDEX('Brand Reference'!$A$2:$A$13,MATCH(TRUE,ISNUMBER(SEARCH('Brand Reference'!$A$2:$A$13,E195)),0)),"Unknown")))</f>
        <v>Brightline</v>
      </c>
      <c r="J195" t="s">
        <v>49</v>
      </c>
      <c r="K195" t="str">
        <f t="shared" si="21"/>
        <v>Ivory Peak Logistics</v>
      </c>
      <c r="L195" s="4">
        <v>16.87</v>
      </c>
      <c r="M195">
        <v>37.799999999999997</v>
      </c>
      <c r="N195" s="4">
        <f t="shared" si="22"/>
        <v>37.799999999999997</v>
      </c>
      <c r="O195" s="6">
        <v>24</v>
      </c>
      <c r="P195" s="6">
        <v>25</v>
      </c>
      <c r="Q195" t="s">
        <v>44</v>
      </c>
      <c r="R195" t="str">
        <f t="shared" si="23"/>
        <v>BHM-C3</v>
      </c>
      <c r="S195" s="1">
        <v>45591</v>
      </c>
    </row>
    <row r="196" spans="1:19">
      <c r="A196" t="s">
        <v>638</v>
      </c>
      <c r="B196" t="s">
        <v>639</v>
      </c>
      <c r="C196" t="str">
        <f t="shared" si="18"/>
        <v>EC-HOM-0195</v>
      </c>
      <c r="D196" t="s">
        <v>640</v>
      </c>
      <c r="E196" t="str">
        <f t="shared" si="19"/>
        <v>Oak &amp; Ember Deluxe Desk Organiser</v>
      </c>
      <c r="F196" t="s">
        <v>30</v>
      </c>
      <c r="G196" t="str">
        <f t="shared" si="20"/>
        <v>Home &amp; Office</v>
      </c>
      <c r="H196" t="s">
        <v>838</v>
      </c>
      <c r="I196" t="str" cm="1">
        <f t="array" ref="I196">PROPER(IF(TRIM(H196)&lt;&gt;"",TRIM(H196),IFERROR(INDEX('Brand Reference'!$A$2:$A$13,MATCH(TRUE,ISNUMBER(SEARCH('Brand Reference'!$A$2:$A$13,E196)),0)),"Unknown")))</f>
        <v>Oak &amp; Ember</v>
      </c>
      <c r="J196" t="s">
        <v>101</v>
      </c>
      <c r="K196" t="str">
        <f t="shared" si="21"/>
        <v>Aster Wholesale Ltd</v>
      </c>
      <c r="L196" s="4">
        <v>9.93</v>
      </c>
      <c r="M196">
        <v>22.34</v>
      </c>
      <c r="N196" s="4">
        <f t="shared" si="22"/>
        <v>22.34</v>
      </c>
      <c r="O196" s="6">
        <v>113</v>
      </c>
      <c r="P196" s="6">
        <v>5</v>
      </c>
      <c r="Q196" t="s">
        <v>758</v>
      </c>
      <c r="R196" t="str">
        <f t="shared" si="23"/>
        <v>BHM-C3</v>
      </c>
      <c r="S196" s="1">
        <v>45328</v>
      </c>
    </row>
    <row r="197" spans="1:19">
      <c r="A197" t="s">
        <v>641</v>
      </c>
      <c r="B197" t="s">
        <v>642</v>
      </c>
      <c r="C197" t="str">
        <f t="shared" si="18"/>
        <v>EC-FIT-0196</v>
      </c>
      <c r="D197" t="s">
        <v>643</v>
      </c>
      <c r="E197" t="str">
        <f t="shared" si="19"/>
        <v>Harbour &amp; Hill Mini Yoga Mat</v>
      </c>
      <c r="F197" t="s">
        <v>87</v>
      </c>
      <c r="G197" t="str">
        <f t="shared" si="20"/>
        <v>Fitness</v>
      </c>
      <c r="H197" t="s">
        <v>55</v>
      </c>
      <c r="I197" t="str" cm="1">
        <f t="array" ref="I197">PROPER(IF(TRIM(H197)&lt;&gt;"",TRIM(H197),IFERROR(INDEX('Brand Reference'!$A$2:$A$13,MATCH(TRUE,ISNUMBER(SEARCH('Brand Reference'!$A$2:$A$13,E197)),0)),"Unknown")))</f>
        <v>Harbour &amp; Hill</v>
      </c>
      <c r="K197" t="str">
        <f t="shared" si="21"/>
        <v>Unknown</v>
      </c>
      <c r="L197" s="4">
        <v>39.42</v>
      </c>
      <c r="M197">
        <v>60.96</v>
      </c>
      <c r="N197" s="4">
        <f t="shared" si="22"/>
        <v>60.96</v>
      </c>
      <c r="O197" s="6">
        <v>86</v>
      </c>
      <c r="P197" s="6">
        <v>15</v>
      </c>
      <c r="Q197" t="s">
        <v>38</v>
      </c>
      <c r="R197" t="str">
        <f t="shared" si="23"/>
        <v>GLA-A2</v>
      </c>
      <c r="S197" s="1">
        <v>45839</v>
      </c>
    </row>
    <row r="198" spans="1:19">
      <c r="A198" t="s">
        <v>644</v>
      </c>
      <c r="B198" t="s">
        <v>645</v>
      </c>
      <c r="C198" t="str">
        <f t="shared" si="18"/>
        <v>EC-APP-0197</v>
      </c>
      <c r="D198" t="s">
        <v>646</v>
      </c>
      <c r="E198" t="str">
        <f t="shared" si="19"/>
        <v>Northstar Premium Cotton T-Shirt</v>
      </c>
      <c r="F198" t="s">
        <v>198</v>
      </c>
      <c r="G198" t="str">
        <f t="shared" si="20"/>
        <v>Apparel</v>
      </c>
      <c r="H198" t="s">
        <v>83</v>
      </c>
      <c r="I198" t="str" cm="1">
        <f t="array" ref="I198">PROPER(IF(TRIM(H198)&lt;&gt;"",TRIM(H198),IFERROR(INDEX('Brand Reference'!$A$2:$A$13,MATCH(TRUE,ISNUMBER(SEARCH('Brand Reference'!$A$2:$A$13,E198)),0)),"Unknown")))</f>
        <v>Northstar</v>
      </c>
      <c r="J198" t="s">
        <v>19</v>
      </c>
      <c r="K198" t="str">
        <f t="shared" si="21"/>
        <v>Dovetail Trading Co.</v>
      </c>
      <c r="L198" s="4">
        <v>30.6</v>
      </c>
      <c r="M198">
        <v>61.95</v>
      </c>
      <c r="N198" s="4">
        <f t="shared" si="22"/>
        <v>61.95</v>
      </c>
      <c r="O198" s="6">
        <v>17</v>
      </c>
      <c r="P198" s="6">
        <v>12</v>
      </c>
      <c r="Q198" t="s">
        <v>38</v>
      </c>
      <c r="R198" t="str">
        <f t="shared" si="23"/>
        <v>GLA-A2</v>
      </c>
      <c r="S198" s="1">
        <v>45742</v>
      </c>
    </row>
    <row r="199" spans="1:19">
      <c r="A199" t="s">
        <v>647</v>
      </c>
      <c r="B199" t="s">
        <v>648</v>
      </c>
      <c r="C199" t="str">
        <f t="shared" si="18"/>
        <v>EC-HOM-0198</v>
      </c>
      <c r="D199" t="s">
        <v>649</v>
      </c>
      <c r="E199" t="str">
        <f t="shared" si="19"/>
        <v>Northstar Mini Water Bottle</v>
      </c>
      <c r="F199" t="s">
        <v>30</v>
      </c>
      <c r="G199" t="str">
        <f t="shared" si="20"/>
        <v>Home &amp; Office</v>
      </c>
      <c r="H199" t="s">
        <v>83</v>
      </c>
      <c r="I199" t="str" cm="1">
        <f t="array" ref="I199">PROPER(IF(TRIM(H199)&lt;&gt;"",TRIM(H199),IFERROR(INDEX('Brand Reference'!$A$2:$A$13,MATCH(TRUE,ISNUMBER(SEARCH('Brand Reference'!$A$2:$A$13,E199)),0)),"Unknown")))</f>
        <v>Northstar</v>
      </c>
      <c r="J199" t="s">
        <v>837</v>
      </c>
      <c r="K199" t="str">
        <f t="shared" si="21"/>
        <v>Foxbridge Partners</v>
      </c>
      <c r="L199" s="4">
        <v>2.4500000000000002</v>
      </c>
      <c r="M199">
        <v>4.45</v>
      </c>
      <c r="N199" s="4">
        <f t="shared" si="22"/>
        <v>4.45</v>
      </c>
      <c r="O199" s="6">
        <v>65</v>
      </c>
      <c r="P199" s="6">
        <v>12</v>
      </c>
      <c r="Q199" t="s">
        <v>26</v>
      </c>
      <c r="R199" t="str">
        <f t="shared" si="23"/>
        <v>MAN-A1</v>
      </c>
      <c r="S199" s="1">
        <v>46195</v>
      </c>
    </row>
    <row r="200" spans="1:19">
      <c r="A200" t="s">
        <v>650</v>
      </c>
      <c r="B200" t="s">
        <v>651</v>
      </c>
      <c r="C200" t="str">
        <f t="shared" si="18"/>
        <v>EC-KIT-0199</v>
      </c>
      <c r="D200" t="s">
        <v>652</v>
      </c>
      <c r="E200" t="str">
        <f t="shared" si="19"/>
        <v>Oak &amp; Ember Travel Coffee Grinder</v>
      </c>
      <c r="F200" t="s">
        <v>36</v>
      </c>
      <c r="G200" t="str">
        <f t="shared" si="20"/>
        <v>Kitchen</v>
      </c>
      <c r="H200" t="s">
        <v>64</v>
      </c>
      <c r="I200" t="str" cm="1">
        <f t="array" ref="I200">PROPER(IF(TRIM(H200)&lt;&gt;"",TRIM(H200),IFERROR(INDEX('Brand Reference'!$A$2:$A$13,MATCH(TRUE,ISNUMBER(SEARCH('Brand Reference'!$A$2:$A$13,E200)),0)),"Unknown")))</f>
        <v>Oak &amp; Ember</v>
      </c>
      <c r="J200" t="s">
        <v>159</v>
      </c>
      <c r="K200" t="str">
        <f t="shared" si="21"/>
        <v>Foxbridge Partners</v>
      </c>
      <c r="L200" s="4">
        <v>25.66</v>
      </c>
      <c r="M200">
        <v>42.23</v>
      </c>
      <c r="N200" s="4">
        <f t="shared" si="22"/>
        <v>42.23</v>
      </c>
      <c r="O200" s="6">
        <v>179</v>
      </c>
      <c r="P200" s="6">
        <v>10</v>
      </c>
      <c r="Q200" t="s">
        <v>38</v>
      </c>
      <c r="R200" t="str">
        <f t="shared" si="23"/>
        <v>GLA-A2</v>
      </c>
      <c r="S200" s="1">
        <v>45946</v>
      </c>
    </row>
    <row r="201" spans="1:19">
      <c r="A201" t="s">
        <v>653</v>
      </c>
      <c r="B201" t="s">
        <v>839</v>
      </c>
      <c r="C201" t="str">
        <f t="shared" si="18"/>
        <v>EC-HOM-0200</v>
      </c>
      <c r="D201" t="s">
        <v>655</v>
      </c>
      <c r="E201" t="str">
        <f t="shared" si="19"/>
        <v>Kindred Studio Ergonomic Chair</v>
      </c>
      <c r="F201" t="s">
        <v>30</v>
      </c>
      <c r="G201" t="str">
        <f t="shared" si="20"/>
        <v>Home &amp; Office</v>
      </c>
      <c r="H201" t="s">
        <v>765</v>
      </c>
      <c r="I201" t="str" cm="1">
        <f t="array" ref="I201">PROPER(IF(TRIM(H201)&lt;&gt;"",TRIM(H201),IFERROR(INDEX('Brand Reference'!$A$2:$A$13,MATCH(TRUE,ISNUMBER(SEARCH('Brand Reference'!$A$2:$A$13,E201)),0)),"Unknown")))</f>
        <v>Kindred</v>
      </c>
      <c r="J201" t="s">
        <v>37</v>
      </c>
      <c r="K201" t="str">
        <f t="shared" si="21"/>
        <v>Greenway Goods</v>
      </c>
      <c r="L201" s="4">
        <v>80.53</v>
      </c>
      <c r="M201">
        <v>156.56</v>
      </c>
      <c r="N201" s="4">
        <f t="shared" si="22"/>
        <v>156.56</v>
      </c>
      <c r="O201" s="6">
        <v>237</v>
      </c>
      <c r="P201" s="6">
        <v>5</v>
      </c>
      <c r="Q201" t="s">
        <v>20</v>
      </c>
      <c r="R201" t="str">
        <f t="shared" si="23"/>
        <v>LON-A1</v>
      </c>
      <c r="S201" s="1">
        <v>45688</v>
      </c>
    </row>
    <row r="202" spans="1:19">
      <c r="A202" t="s">
        <v>656</v>
      </c>
      <c r="B202" t="s">
        <v>657</v>
      </c>
      <c r="C202" t="str">
        <f t="shared" si="18"/>
        <v>EC-HOM-0201</v>
      </c>
      <c r="D202" t="s">
        <v>840</v>
      </c>
      <c r="E202" t="str">
        <f t="shared" si="19"/>
        <v>Kindred Travel Ergonomic Chair - Blue</v>
      </c>
      <c r="F202" t="s">
        <v>30</v>
      </c>
      <c r="G202" t="str">
        <f t="shared" si="20"/>
        <v>Home &amp; Office</v>
      </c>
      <c r="H202" t="s">
        <v>31</v>
      </c>
      <c r="I202" t="str" cm="1">
        <f t="array" ref="I202">PROPER(IF(TRIM(H202)&lt;&gt;"",TRIM(H202),IFERROR(INDEX('Brand Reference'!$A$2:$A$13,MATCH(TRUE,ISNUMBER(SEARCH('Brand Reference'!$A$2:$A$13,E202)),0)),"Unknown")))</f>
        <v>Kindred</v>
      </c>
      <c r="J202" t="s">
        <v>159</v>
      </c>
      <c r="K202" t="str">
        <f t="shared" si="21"/>
        <v>Foxbridge Partners</v>
      </c>
      <c r="L202" s="4">
        <v>56.41</v>
      </c>
      <c r="M202">
        <v>103.93</v>
      </c>
      <c r="N202" s="4">
        <f t="shared" si="22"/>
        <v>103.93</v>
      </c>
      <c r="O202" s="6">
        <v>73</v>
      </c>
      <c r="P202" s="6">
        <v>30</v>
      </c>
      <c r="Q202" t="s">
        <v>44</v>
      </c>
      <c r="R202" t="str">
        <f t="shared" si="23"/>
        <v>BHM-C3</v>
      </c>
      <c r="S202" s="1">
        <v>45306</v>
      </c>
    </row>
    <row r="203" spans="1:19">
      <c r="A203" t="s">
        <v>659</v>
      </c>
      <c r="B203" t="s">
        <v>660</v>
      </c>
      <c r="C203" t="str">
        <f t="shared" si="18"/>
        <v>EC-ACC-0202</v>
      </c>
      <c r="D203" t="s">
        <v>661</v>
      </c>
      <c r="E203" t="str">
        <f t="shared" si="19"/>
        <v>Northstar Mini Screen Protector</v>
      </c>
      <c r="F203" t="s">
        <v>42</v>
      </c>
      <c r="G203" t="str">
        <f t="shared" si="20"/>
        <v>Accessories</v>
      </c>
      <c r="H203" t="s">
        <v>83</v>
      </c>
      <c r="I203" t="str" cm="1">
        <f t="array" ref="I203">PROPER(IF(TRIM(H203)&lt;&gt;"",TRIM(H203),IFERROR(INDEX('Brand Reference'!$A$2:$A$13,MATCH(TRUE,ISNUMBER(SEARCH('Brand Reference'!$A$2:$A$13,E203)),0)),"Unknown")))</f>
        <v>Northstar</v>
      </c>
      <c r="J203" t="s">
        <v>79</v>
      </c>
      <c r="K203" t="str">
        <f t="shared" si="21"/>
        <v>Crownline Imports</v>
      </c>
      <c r="L203" s="4">
        <v>68.8</v>
      </c>
      <c r="M203">
        <v>134.85</v>
      </c>
      <c r="N203" s="4">
        <f t="shared" si="22"/>
        <v>134.85</v>
      </c>
      <c r="O203" s="6">
        <v>242</v>
      </c>
      <c r="P203" s="6">
        <v>30</v>
      </c>
      <c r="Q203" t="s">
        <v>26</v>
      </c>
      <c r="R203" t="str">
        <f t="shared" si="23"/>
        <v>MAN-A1</v>
      </c>
      <c r="S203" s="1">
        <v>45525</v>
      </c>
    </row>
    <row r="204" spans="1:19">
      <c r="A204" t="s">
        <v>662</v>
      </c>
      <c r="B204" t="s">
        <v>663</v>
      </c>
      <c r="C204" t="str">
        <f t="shared" si="18"/>
        <v>EC-HOM-0203</v>
      </c>
      <c r="D204" t="s">
        <v>664</v>
      </c>
      <c r="E204" t="str">
        <f t="shared" si="19"/>
        <v>Cedar Lane Plus Desk Organiser</v>
      </c>
      <c r="F204" t="s">
        <v>30</v>
      </c>
      <c r="G204" t="str">
        <f t="shared" si="20"/>
        <v>Home &amp; Office</v>
      </c>
      <c r="H204" t="s">
        <v>803</v>
      </c>
      <c r="I204" t="str" cm="1">
        <f t="array" ref="I204">PROPER(IF(TRIM(H204)&lt;&gt;"",TRIM(H204),IFERROR(INDEX('Brand Reference'!$A$2:$A$13,MATCH(TRUE,ISNUMBER(SEARCH('Brand Reference'!$A$2:$A$13,E204)),0)),"Unknown")))</f>
        <v>Cedar Lane</v>
      </c>
      <c r="J204" t="s">
        <v>19</v>
      </c>
      <c r="K204" t="str">
        <f t="shared" si="21"/>
        <v>Dovetail Trading Co.</v>
      </c>
      <c r="L204" s="4">
        <v>41.37</v>
      </c>
      <c r="M204">
        <v>87.3</v>
      </c>
      <c r="N204" s="4">
        <f t="shared" si="22"/>
        <v>87.3</v>
      </c>
      <c r="O204" s="6">
        <v>232</v>
      </c>
      <c r="P204" s="6">
        <v>5</v>
      </c>
      <c r="Q204" t="s">
        <v>20</v>
      </c>
      <c r="R204" t="str">
        <f t="shared" si="23"/>
        <v>LON-A1</v>
      </c>
      <c r="S204" s="1">
        <v>46256</v>
      </c>
    </row>
    <row r="205" spans="1:19">
      <c r="A205" t="s">
        <v>665</v>
      </c>
      <c r="B205" t="s">
        <v>666</v>
      </c>
      <c r="C205" t="str">
        <f t="shared" si="18"/>
        <v>EC-ELE-0204</v>
      </c>
      <c r="D205" t="s">
        <v>667</v>
      </c>
      <c r="E205" t="str">
        <f t="shared" si="19"/>
        <v>Kite &amp; Key Classic Wireless Mouse</v>
      </c>
      <c r="F205" t="s">
        <v>763</v>
      </c>
      <c r="G205" t="str">
        <f t="shared" si="20"/>
        <v>Electronics</v>
      </c>
      <c r="H205" t="s">
        <v>43</v>
      </c>
      <c r="I205" t="str" cm="1">
        <f t="array" ref="I205">PROPER(IF(TRIM(H205)&lt;&gt;"",TRIM(H205),IFERROR(INDEX('Brand Reference'!$A$2:$A$13,MATCH(TRUE,ISNUMBER(SEARCH('Brand Reference'!$A$2:$A$13,E205)),0)),"Unknown")))</f>
        <v>Kite &amp; Key</v>
      </c>
      <c r="J205" t="s">
        <v>25</v>
      </c>
      <c r="K205" t="str">
        <f t="shared" si="21"/>
        <v>Everwell Supply</v>
      </c>
      <c r="L205" s="4">
        <v>15.17</v>
      </c>
      <c r="M205">
        <v>28.27</v>
      </c>
      <c r="N205" s="4">
        <f t="shared" si="22"/>
        <v>28.27</v>
      </c>
      <c r="O205" s="6">
        <v>67</v>
      </c>
      <c r="P205" s="6">
        <v>30</v>
      </c>
      <c r="Q205" t="s">
        <v>26</v>
      </c>
      <c r="R205" t="str">
        <f t="shared" si="23"/>
        <v>MAN-A1</v>
      </c>
      <c r="S205" s="1">
        <v>45852</v>
      </c>
    </row>
    <row r="206" spans="1:19">
      <c r="A206" t="s">
        <v>668</v>
      </c>
      <c r="B206" t="s">
        <v>669</v>
      </c>
      <c r="C206" t="str">
        <f t="shared" si="18"/>
        <v>EC-BEA-0205</v>
      </c>
      <c r="D206" t="s">
        <v>670</v>
      </c>
      <c r="E206" t="str">
        <f t="shared" si="19"/>
        <v>Oak &amp; Ember Everyday Shampoo</v>
      </c>
      <c r="F206" t="s">
        <v>54</v>
      </c>
      <c r="G206" t="str">
        <f t="shared" si="20"/>
        <v>Beauty</v>
      </c>
      <c r="H206" t="s">
        <v>64</v>
      </c>
      <c r="I206" t="str" cm="1">
        <f t="array" ref="I206">PROPER(IF(TRIM(H206)&lt;&gt;"",TRIM(H206),IFERROR(INDEX('Brand Reference'!$A$2:$A$13,MATCH(TRUE,ISNUMBER(SEARCH('Brand Reference'!$A$2:$A$13,E206)),0)),"Unknown")))</f>
        <v>Oak &amp; Ember</v>
      </c>
      <c r="J206" t="s">
        <v>59</v>
      </c>
      <c r="K206" t="str">
        <f t="shared" si="21"/>
        <v>Bluegate Distribution</v>
      </c>
      <c r="L206" s="4">
        <v>66.28</v>
      </c>
      <c r="M206">
        <v>108.92</v>
      </c>
      <c r="N206" s="4">
        <f t="shared" si="22"/>
        <v>108.92</v>
      </c>
      <c r="O206" s="6">
        <v>61</v>
      </c>
      <c r="P206" s="6">
        <v>5</v>
      </c>
      <c r="Q206" t="s">
        <v>44</v>
      </c>
      <c r="R206" t="str">
        <f t="shared" si="23"/>
        <v>BHM-C3</v>
      </c>
      <c r="S206" s="1">
        <v>45885</v>
      </c>
    </row>
    <row r="207" spans="1:19">
      <c r="A207" t="s">
        <v>671</v>
      </c>
      <c r="B207" t="s">
        <v>672</v>
      </c>
      <c r="C207" t="str">
        <f t="shared" si="18"/>
        <v>EC-ACC-0206</v>
      </c>
      <c r="D207" t="s">
        <v>673</v>
      </c>
      <c r="E207" t="str">
        <f t="shared" si="19"/>
        <v>Everyday Co. Pro Phone Case - Navy</v>
      </c>
      <c r="F207" t="s">
        <v>42</v>
      </c>
      <c r="G207" t="str">
        <f t="shared" si="20"/>
        <v>Accessories</v>
      </c>
      <c r="H207" t="s">
        <v>24</v>
      </c>
      <c r="I207" t="str" cm="1">
        <f t="array" ref="I207">PROPER(IF(TRIM(H207)&lt;&gt;"",TRIM(H207),IFERROR(INDEX('Brand Reference'!$A$2:$A$13,MATCH(TRUE,ISNUMBER(SEARCH('Brand Reference'!$A$2:$A$13,E207)),0)),"Unknown")))</f>
        <v>Everyday Co.</v>
      </c>
      <c r="J207" t="s">
        <v>841</v>
      </c>
      <c r="K207" t="str">
        <f t="shared" si="21"/>
        <v>Greenway Goods</v>
      </c>
      <c r="L207" s="4">
        <v>80.91</v>
      </c>
      <c r="M207">
        <v>118.35</v>
      </c>
      <c r="N207" s="4">
        <f t="shared" si="22"/>
        <v>118.35</v>
      </c>
      <c r="O207" s="6">
        <v>164</v>
      </c>
      <c r="P207" s="6">
        <v>12</v>
      </c>
      <c r="Q207" t="s">
        <v>50</v>
      </c>
      <c r="R207" t="str">
        <f t="shared" si="23"/>
        <v>LDS-B1</v>
      </c>
      <c r="S207" s="1">
        <v>45447</v>
      </c>
    </row>
    <row r="208" spans="1:19">
      <c r="A208" t="s">
        <v>674</v>
      </c>
      <c r="B208" t="s">
        <v>675</v>
      </c>
      <c r="C208" t="str">
        <f t="shared" si="18"/>
        <v>EC-BEA-0207</v>
      </c>
      <c r="D208" t="s">
        <v>676</v>
      </c>
      <c r="E208" t="str">
        <f t="shared" si="19"/>
        <v>Harbour &amp; Hill Essential Hand Cream</v>
      </c>
      <c r="F208" t="s">
        <v>742</v>
      </c>
      <c r="G208" t="str">
        <f t="shared" si="20"/>
        <v>Beauty</v>
      </c>
      <c r="H208" t="s">
        <v>55</v>
      </c>
      <c r="I208" t="str" cm="1">
        <f t="array" ref="I208">PROPER(IF(TRIM(H208)&lt;&gt;"",TRIM(H208),IFERROR(INDEX('Brand Reference'!$A$2:$A$13,MATCH(TRUE,ISNUMBER(SEARCH('Brand Reference'!$A$2:$A$13,E208)),0)),"Unknown")))</f>
        <v>Harbour &amp; Hill</v>
      </c>
      <c r="J208" t="s">
        <v>49</v>
      </c>
      <c r="K208" t="str">
        <f t="shared" si="21"/>
        <v>Ivory Peak Logistics</v>
      </c>
      <c r="L208" s="4">
        <v>68.89</v>
      </c>
      <c r="M208">
        <v>165.61</v>
      </c>
      <c r="N208" s="4">
        <f t="shared" si="22"/>
        <v>165.61</v>
      </c>
      <c r="O208" s="6">
        <v>10</v>
      </c>
      <c r="P208" s="6">
        <v>25</v>
      </c>
      <c r="Q208" t="s">
        <v>38</v>
      </c>
      <c r="R208" t="str">
        <f t="shared" si="23"/>
        <v>GLA-A2</v>
      </c>
      <c r="S208" s="1">
        <v>45471</v>
      </c>
    </row>
    <row r="209" spans="1:19">
      <c r="A209" t="s">
        <v>677</v>
      </c>
      <c r="B209" t="s">
        <v>678</v>
      </c>
      <c r="C209" t="str">
        <f t="shared" si="18"/>
        <v>EC-KIT-0208</v>
      </c>
      <c r="D209" t="s">
        <v>679</v>
      </c>
      <c r="E209" t="str">
        <f t="shared" si="19"/>
        <v>Cedar Lane Studio Ceramic Mug</v>
      </c>
      <c r="F209" t="s">
        <v>36</v>
      </c>
      <c r="G209" t="str">
        <f t="shared" si="20"/>
        <v>Kitchen</v>
      </c>
      <c r="H209" t="s">
        <v>146</v>
      </c>
      <c r="I209" t="str" cm="1">
        <f t="array" ref="I209">PROPER(IF(TRIM(H209)&lt;&gt;"",TRIM(H209),IFERROR(INDEX('Brand Reference'!$A$2:$A$13,MATCH(TRUE,ISNUMBER(SEARCH('Brand Reference'!$A$2:$A$13,E209)),0)),"Unknown")))</f>
        <v>Cedar Lane</v>
      </c>
      <c r="J209" t="s">
        <v>101</v>
      </c>
      <c r="K209" t="str">
        <f t="shared" si="21"/>
        <v>Aster Wholesale Ltd</v>
      </c>
      <c r="L209" s="4">
        <v>69.989999999999995</v>
      </c>
      <c r="M209">
        <v>139.74</v>
      </c>
      <c r="N209" s="4">
        <f t="shared" si="22"/>
        <v>139.74</v>
      </c>
      <c r="O209" s="6">
        <v>14</v>
      </c>
      <c r="P209" s="6">
        <v>40</v>
      </c>
      <c r="Q209" t="s">
        <v>784</v>
      </c>
      <c r="R209" t="str">
        <f t="shared" si="23"/>
        <v>GLA-A2</v>
      </c>
      <c r="S209" s="1">
        <v>46266</v>
      </c>
    </row>
    <row r="210" spans="1:19">
      <c r="A210" t="s">
        <v>680</v>
      </c>
      <c r="B210" t="s">
        <v>681</v>
      </c>
      <c r="C210" t="str">
        <f t="shared" si="18"/>
        <v>EC-APP-0209</v>
      </c>
      <c r="D210" t="s">
        <v>682</v>
      </c>
      <c r="E210" t="str">
        <f t="shared" si="19"/>
        <v>Everyday Co. Essential Cotton T-Shirt</v>
      </c>
      <c r="F210" t="s">
        <v>198</v>
      </c>
      <c r="G210" t="str">
        <f t="shared" si="20"/>
        <v>Apparel</v>
      </c>
      <c r="H210" t="s">
        <v>24</v>
      </c>
      <c r="I210" t="str" cm="1">
        <f t="array" ref="I210">PROPER(IF(TRIM(H210)&lt;&gt;"",TRIM(H210),IFERROR(INDEX('Brand Reference'!$A$2:$A$13,MATCH(TRUE,ISNUMBER(SEARCH('Brand Reference'!$A$2:$A$13,E210)),0)),"Unknown")))</f>
        <v>Everyday Co.</v>
      </c>
      <c r="J210" t="s">
        <v>32</v>
      </c>
      <c r="K210" t="str">
        <f t="shared" si="21"/>
        <v>Juniper Merchants</v>
      </c>
      <c r="L210" s="4">
        <v>80.069999999999993</v>
      </c>
      <c r="M210">
        <v>186.45</v>
      </c>
      <c r="N210" s="4">
        <f t="shared" si="22"/>
        <v>186.45</v>
      </c>
      <c r="O210" s="6">
        <v>24</v>
      </c>
      <c r="P210" s="6">
        <v>10</v>
      </c>
      <c r="Q210" t="s">
        <v>44</v>
      </c>
      <c r="R210" t="str">
        <f t="shared" si="23"/>
        <v>BHM-C3</v>
      </c>
      <c r="S210" s="1">
        <v>46100</v>
      </c>
    </row>
    <row r="211" spans="1:19">
      <c r="A211" t="s">
        <v>683</v>
      </c>
      <c r="B211" t="s">
        <v>684</v>
      </c>
      <c r="C211" t="str">
        <f t="shared" si="18"/>
        <v>EC-HOM-0210</v>
      </c>
      <c r="D211" t="s">
        <v>685</v>
      </c>
      <c r="E211" t="str">
        <f t="shared" si="19"/>
        <v>Oak &amp; Ember Pro LED Strip Lights</v>
      </c>
      <c r="F211" t="s">
        <v>30</v>
      </c>
      <c r="G211" t="str">
        <f t="shared" si="20"/>
        <v>Home &amp; Office</v>
      </c>
      <c r="I211" t="str" cm="1">
        <f t="array" ref="I211">PROPER(IF(TRIM(H211)&lt;&gt;"",TRIM(H211),IFERROR(INDEX('Brand Reference'!$A$2:$A$13,MATCH(TRUE,ISNUMBER(SEARCH('Brand Reference'!$A$2:$A$13,E211)),0)),"Unknown")))</f>
        <v>Oak &amp; Ember</v>
      </c>
      <c r="J211" t="s">
        <v>74</v>
      </c>
      <c r="K211" t="str">
        <f t="shared" si="21"/>
        <v>Harbour Stockists</v>
      </c>
      <c r="L211" s="4">
        <v>79.91</v>
      </c>
      <c r="M211">
        <v>129.03</v>
      </c>
      <c r="N211" s="4">
        <f t="shared" si="22"/>
        <v>129.03</v>
      </c>
      <c r="O211" s="6">
        <v>220</v>
      </c>
      <c r="P211" s="6">
        <v>10</v>
      </c>
      <c r="Q211" t="s">
        <v>50</v>
      </c>
      <c r="R211" t="str">
        <f t="shared" si="23"/>
        <v>LDS-B1</v>
      </c>
      <c r="S211" s="1">
        <v>46246</v>
      </c>
    </row>
    <row r="212" spans="1:19">
      <c r="A212" t="s">
        <v>686</v>
      </c>
      <c r="B212" t="s">
        <v>687</v>
      </c>
      <c r="C212" t="str">
        <f t="shared" si="18"/>
        <v>EC-ELE-0211</v>
      </c>
      <c r="D212" t="s">
        <v>688</v>
      </c>
      <c r="E212" t="str">
        <f t="shared" si="19"/>
        <v>Brightline Pro Laptop Stand - Navy</v>
      </c>
      <c r="F212" t="s">
        <v>17</v>
      </c>
      <c r="G212" t="str">
        <f t="shared" si="20"/>
        <v>Electronics</v>
      </c>
      <c r="H212" t="s">
        <v>842</v>
      </c>
      <c r="I212" t="str" cm="1">
        <f t="array" ref="I212">PROPER(IF(TRIM(H212)&lt;&gt;"",TRIM(H212),IFERROR(INDEX('Brand Reference'!$A$2:$A$13,MATCH(TRUE,ISNUMBER(SEARCH('Brand Reference'!$A$2:$A$13,E212)),0)),"Unknown")))</f>
        <v>Brightline</v>
      </c>
      <c r="J212" t="s">
        <v>79</v>
      </c>
      <c r="K212" t="str">
        <f t="shared" si="21"/>
        <v>Crownline Imports</v>
      </c>
      <c r="L212" s="4">
        <v>28.19</v>
      </c>
      <c r="M212">
        <v>59.95</v>
      </c>
      <c r="N212" s="4">
        <f t="shared" si="22"/>
        <v>59.95</v>
      </c>
      <c r="O212" s="6">
        <v>214</v>
      </c>
      <c r="P212" s="6">
        <v>30</v>
      </c>
      <c r="Q212" t="s">
        <v>44</v>
      </c>
      <c r="R212" t="str">
        <f t="shared" si="23"/>
        <v>BHM-C3</v>
      </c>
      <c r="S212" s="1">
        <v>45380</v>
      </c>
    </row>
    <row r="213" spans="1:19">
      <c r="A213" t="s">
        <v>689</v>
      </c>
      <c r="B213" t="s">
        <v>690</v>
      </c>
      <c r="C213" t="str">
        <f t="shared" si="18"/>
        <v>EC-GAR-0212</v>
      </c>
      <c r="D213" t="s">
        <v>691</v>
      </c>
      <c r="E213" t="str">
        <f t="shared" si="19"/>
        <v>Brightline Essential Plant Pot</v>
      </c>
      <c r="F213" t="s">
        <v>73</v>
      </c>
      <c r="G213" t="str">
        <f t="shared" si="20"/>
        <v>Garden</v>
      </c>
      <c r="H213" t="s">
        <v>184</v>
      </c>
      <c r="I213" t="str" cm="1">
        <f t="array" ref="I213">PROPER(IF(TRIM(H213)&lt;&gt;"",TRIM(H213),IFERROR(INDEX('Brand Reference'!$A$2:$A$13,MATCH(TRUE,ISNUMBER(SEARCH('Brand Reference'!$A$2:$A$13,E213)),0)),"Unknown")))</f>
        <v>Brightline</v>
      </c>
      <c r="J213" t="s">
        <v>19</v>
      </c>
      <c r="K213" t="str">
        <f t="shared" si="21"/>
        <v>Dovetail Trading Co.</v>
      </c>
      <c r="L213" s="4">
        <v>40.200000000000003</v>
      </c>
      <c r="M213">
        <v>58.74</v>
      </c>
      <c r="N213" s="4">
        <f t="shared" si="22"/>
        <v>58.74</v>
      </c>
      <c r="O213" s="6">
        <v>144</v>
      </c>
      <c r="P213" s="6">
        <v>40</v>
      </c>
      <c r="Q213" t="s">
        <v>97</v>
      </c>
      <c r="R213" t="str">
        <f t="shared" si="23"/>
        <v>LON-B2</v>
      </c>
      <c r="S213" s="1">
        <v>46267</v>
      </c>
    </row>
    <row r="214" spans="1:19">
      <c r="A214" t="s">
        <v>692</v>
      </c>
      <c r="B214" t="s">
        <v>693</v>
      </c>
      <c r="C214" t="str">
        <f t="shared" si="18"/>
        <v>EC-HOM-0213</v>
      </c>
      <c r="D214" t="s">
        <v>694</v>
      </c>
      <c r="E214" t="str">
        <f t="shared" si="19"/>
        <v>Morrow Pro Ergonomic Chair</v>
      </c>
      <c r="F214" t="s">
        <v>30</v>
      </c>
      <c r="G214" t="str">
        <f t="shared" si="20"/>
        <v>Home &amp; Office</v>
      </c>
      <c r="H214" t="s">
        <v>48</v>
      </c>
      <c r="I214" t="str" cm="1">
        <f t="array" ref="I214">PROPER(IF(TRIM(H214)&lt;&gt;"",TRIM(H214),IFERROR(INDEX('Brand Reference'!$A$2:$A$13,MATCH(TRUE,ISNUMBER(SEARCH('Brand Reference'!$A$2:$A$13,E214)),0)),"Unknown")))</f>
        <v>Morrow</v>
      </c>
      <c r="J214" t="s">
        <v>25</v>
      </c>
      <c r="K214" t="str">
        <f t="shared" si="21"/>
        <v>Everwell Supply</v>
      </c>
      <c r="L214" s="4">
        <v>57.59</v>
      </c>
      <c r="M214">
        <v>121.19</v>
      </c>
      <c r="N214" s="4">
        <f t="shared" si="22"/>
        <v>121.19</v>
      </c>
      <c r="O214" s="6">
        <v>96</v>
      </c>
      <c r="P214" s="6">
        <v>5</v>
      </c>
      <c r="Q214" t="s">
        <v>44</v>
      </c>
      <c r="R214" t="str">
        <f t="shared" si="23"/>
        <v>BHM-C3</v>
      </c>
      <c r="S214" s="1">
        <v>45917</v>
      </c>
    </row>
    <row r="215" spans="1:19">
      <c r="A215" t="s">
        <v>695</v>
      </c>
      <c r="B215" t="s">
        <v>696</v>
      </c>
      <c r="C215" t="str">
        <f t="shared" si="18"/>
        <v>EC-GAR-0214</v>
      </c>
      <c r="D215" t="s">
        <v>697</v>
      </c>
      <c r="E215" t="str">
        <f t="shared" si="19"/>
        <v>Everyday Co. Compact Plant Pot</v>
      </c>
      <c r="F215" t="s">
        <v>73</v>
      </c>
      <c r="G215" t="str">
        <f t="shared" si="20"/>
        <v>Garden</v>
      </c>
      <c r="H215" t="s">
        <v>843</v>
      </c>
      <c r="I215" t="str" cm="1">
        <f t="array" ref="I215">PROPER(IF(TRIM(H215)&lt;&gt;"",TRIM(H215),IFERROR(INDEX('Brand Reference'!$A$2:$A$13,MATCH(TRUE,ISNUMBER(SEARCH('Brand Reference'!$A$2:$A$13,E215)),0)),"Unknown")))</f>
        <v>Everyday Co.</v>
      </c>
      <c r="J215" t="s">
        <v>25</v>
      </c>
      <c r="K215" t="str">
        <f t="shared" si="21"/>
        <v>Everwell Supply</v>
      </c>
      <c r="L215" s="4">
        <v>21.65</v>
      </c>
      <c r="M215">
        <v>31.57</v>
      </c>
      <c r="N215" s="4">
        <f t="shared" si="22"/>
        <v>31.57</v>
      </c>
      <c r="O215" s="6">
        <v>94</v>
      </c>
      <c r="P215" s="6">
        <v>5</v>
      </c>
      <c r="Q215" t="s">
        <v>20</v>
      </c>
      <c r="R215" t="str">
        <f t="shared" si="23"/>
        <v>LON-A1</v>
      </c>
      <c r="S215" s="1">
        <v>45945</v>
      </c>
    </row>
    <row r="216" spans="1:19">
      <c r="A216" t="s">
        <v>698</v>
      </c>
      <c r="B216" t="s">
        <v>844</v>
      </c>
      <c r="C216" t="str">
        <f t="shared" si="18"/>
        <v>EC-FIT-0215</v>
      </c>
      <c r="D216" t="s">
        <v>700</v>
      </c>
      <c r="E216" t="str">
        <f t="shared" si="19"/>
        <v>Kite &amp; Key Compact Yoga Mat - Rose</v>
      </c>
      <c r="F216" t="s">
        <v>87</v>
      </c>
      <c r="G216" t="str">
        <f t="shared" si="20"/>
        <v>Fitness</v>
      </c>
      <c r="H216" t="s">
        <v>845</v>
      </c>
      <c r="I216" t="str" cm="1">
        <f t="array" ref="I216">PROPER(IF(TRIM(H216)&lt;&gt;"",TRIM(H216),IFERROR(INDEX('Brand Reference'!$A$2:$A$13,MATCH(TRUE,ISNUMBER(SEARCH('Brand Reference'!$A$2:$A$13,E216)),0)),"Unknown")))</f>
        <v>Kite &amp; Key</v>
      </c>
      <c r="J216" t="s">
        <v>49</v>
      </c>
      <c r="K216" t="str">
        <f t="shared" si="21"/>
        <v>Ivory Peak Logistics</v>
      </c>
      <c r="L216" s="4">
        <v>10.75</v>
      </c>
      <c r="M216">
        <v>22.4</v>
      </c>
      <c r="N216" s="4">
        <f t="shared" si="22"/>
        <v>22.4</v>
      </c>
      <c r="O216" s="6">
        <v>246</v>
      </c>
      <c r="P216" s="6">
        <v>5</v>
      </c>
      <c r="Q216" t="s">
        <v>50</v>
      </c>
      <c r="R216" t="str">
        <f t="shared" si="23"/>
        <v>LDS-B1</v>
      </c>
      <c r="S216" s="1">
        <v>46248</v>
      </c>
    </row>
    <row r="217" spans="1:19">
      <c r="A217" t="s">
        <v>701</v>
      </c>
      <c r="B217" t="s">
        <v>702</v>
      </c>
      <c r="C217" t="str">
        <f t="shared" si="18"/>
        <v>EC-APP-0216</v>
      </c>
      <c r="D217" t="s">
        <v>703</v>
      </c>
      <c r="E217" t="str">
        <f t="shared" si="19"/>
        <v>Kindred Eco Running Socks</v>
      </c>
      <c r="F217" t="s">
        <v>198</v>
      </c>
      <c r="G217" t="str">
        <f t="shared" si="20"/>
        <v>Apparel</v>
      </c>
      <c r="H217" t="s">
        <v>31</v>
      </c>
      <c r="I217" t="str" cm="1">
        <f t="array" ref="I217">PROPER(IF(TRIM(H217)&lt;&gt;"",TRIM(H217),IFERROR(INDEX('Brand Reference'!$A$2:$A$13,MATCH(TRUE,ISNUMBER(SEARCH('Brand Reference'!$A$2:$A$13,E217)),0)),"Unknown")))</f>
        <v>Kindred</v>
      </c>
      <c r="J217" t="s">
        <v>159</v>
      </c>
      <c r="K217" t="str">
        <f t="shared" si="21"/>
        <v>Foxbridge Partners</v>
      </c>
      <c r="L217" s="4">
        <v>55.66</v>
      </c>
      <c r="M217">
        <v>80.290000000000006</v>
      </c>
      <c r="N217" s="4">
        <f t="shared" si="22"/>
        <v>80.290000000000006</v>
      </c>
      <c r="O217" s="6">
        <v>118</v>
      </c>
      <c r="P217" s="6">
        <v>30</v>
      </c>
      <c r="Q217" t="s">
        <v>20</v>
      </c>
      <c r="R217" t="str">
        <f t="shared" si="23"/>
        <v>LON-A1</v>
      </c>
      <c r="S217" s="1">
        <v>46275</v>
      </c>
    </row>
    <row r="218" spans="1:19">
      <c r="A218" t="s">
        <v>704</v>
      </c>
      <c r="B218" t="s">
        <v>846</v>
      </c>
      <c r="C218" t="str">
        <f t="shared" si="18"/>
        <v>EC-BEA-0217</v>
      </c>
      <c r="D218" t="s">
        <v>706</v>
      </c>
      <c r="E218" t="str">
        <f t="shared" si="19"/>
        <v>Nova Supply Premium Shampoo</v>
      </c>
      <c r="F218" t="s">
        <v>54</v>
      </c>
      <c r="G218" t="str">
        <f t="shared" si="20"/>
        <v>Beauty</v>
      </c>
      <c r="H218" t="s">
        <v>121</v>
      </c>
      <c r="I218" t="str" cm="1">
        <f t="array" ref="I218">PROPER(IF(TRIM(H218)&lt;&gt;"",TRIM(H218),IFERROR(INDEX('Brand Reference'!$A$2:$A$13,MATCH(TRUE,ISNUMBER(SEARCH('Brand Reference'!$A$2:$A$13,E218)),0)),"Unknown")))</f>
        <v>Nova Supply</v>
      </c>
      <c r="J218" t="s">
        <v>74</v>
      </c>
      <c r="K218" t="str">
        <f t="shared" si="21"/>
        <v>Harbour Stockists</v>
      </c>
      <c r="L218" s="4">
        <v>28.92</v>
      </c>
      <c r="M218">
        <v>70.12</v>
      </c>
      <c r="N218" s="4">
        <f t="shared" si="22"/>
        <v>70.12</v>
      </c>
      <c r="O218" s="6">
        <v>219</v>
      </c>
      <c r="P218" s="6">
        <v>25</v>
      </c>
      <c r="Q218" t="s">
        <v>26</v>
      </c>
      <c r="R218" t="str">
        <f t="shared" si="23"/>
        <v>MAN-A1</v>
      </c>
      <c r="S218" s="1">
        <v>45520</v>
      </c>
    </row>
    <row r="219" spans="1:19">
      <c r="A219" t="s">
        <v>707</v>
      </c>
      <c r="B219" t="s">
        <v>708</v>
      </c>
      <c r="C219" t="str">
        <f t="shared" si="18"/>
        <v>EC-ELE-0218</v>
      </c>
      <c r="D219" t="s">
        <v>709</v>
      </c>
      <c r="E219" t="str">
        <f t="shared" si="19"/>
        <v>Kindred Deluxe Power Bank - Black</v>
      </c>
      <c r="F219" t="s">
        <v>17</v>
      </c>
      <c r="G219" t="str">
        <f t="shared" si="20"/>
        <v>Electronics</v>
      </c>
      <c r="H219" t="s">
        <v>31</v>
      </c>
      <c r="I219" t="str" cm="1">
        <f t="array" ref="I219">PROPER(IF(TRIM(H219)&lt;&gt;"",TRIM(H219),IFERROR(INDEX('Brand Reference'!$A$2:$A$13,MATCH(TRUE,ISNUMBER(SEARCH('Brand Reference'!$A$2:$A$13,E219)),0)),"Unknown")))</f>
        <v>Kindred</v>
      </c>
      <c r="J219" t="s">
        <v>79</v>
      </c>
      <c r="K219" t="str">
        <f t="shared" si="21"/>
        <v>Crownline Imports</v>
      </c>
      <c r="L219" s="4">
        <v>9.25</v>
      </c>
      <c r="M219">
        <v>13.09</v>
      </c>
      <c r="N219" s="4">
        <f t="shared" si="22"/>
        <v>13.09</v>
      </c>
      <c r="O219" s="6">
        <v>89</v>
      </c>
      <c r="P219" s="6">
        <v>30</v>
      </c>
      <c r="Q219" t="s">
        <v>44</v>
      </c>
      <c r="R219" t="str">
        <f t="shared" si="23"/>
        <v>BHM-C3</v>
      </c>
      <c r="S219" s="1">
        <v>46089</v>
      </c>
    </row>
    <row r="220" spans="1:19">
      <c r="A220" t="s">
        <v>710</v>
      </c>
      <c r="B220" t="s">
        <v>847</v>
      </c>
      <c r="C220" t="str">
        <f t="shared" si="18"/>
        <v>EC-BEA-0219</v>
      </c>
      <c r="D220" t="s">
        <v>712</v>
      </c>
      <c r="E220" t="str">
        <f t="shared" si="19"/>
        <v>Brightline Deluxe Facial Cleanser</v>
      </c>
      <c r="F220" t="s">
        <v>54</v>
      </c>
      <c r="G220" t="str">
        <f t="shared" si="20"/>
        <v>Beauty</v>
      </c>
      <c r="H220" t="s">
        <v>184</v>
      </c>
      <c r="I220" t="str" cm="1">
        <f t="array" ref="I220">PROPER(IF(TRIM(H220)&lt;&gt;"",TRIM(H220),IFERROR(INDEX('Brand Reference'!$A$2:$A$13,MATCH(TRUE,ISNUMBER(SEARCH('Brand Reference'!$A$2:$A$13,E220)),0)),"Unknown")))</f>
        <v>Brightline</v>
      </c>
      <c r="J220" t="s">
        <v>32</v>
      </c>
      <c r="K220" t="str">
        <f t="shared" si="21"/>
        <v>Juniper Merchants</v>
      </c>
      <c r="L220" s="4">
        <v>34.67</v>
      </c>
      <c r="M220">
        <v>63.08</v>
      </c>
      <c r="N220" s="4">
        <f t="shared" si="22"/>
        <v>63.08</v>
      </c>
      <c r="O220" s="6">
        <v>246</v>
      </c>
      <c r="P220" s="6">
        <v>10</v>
      </c>
      <c r="Q220" t="s">
        <v>50</v>
      </c>
      <c r="R220" t="str">
        <f t="shared" si="23"/>
        <v>LDS-B1</v>
      </c>
      <c r="S220" s="1">
        <v>46065</v>
      </c>
    </row>
    <row r="221" spans="1:19">
      <c r="A221" t="s">
        <v>713</v>
      </c>
      <c r="B221" t="s">
        <v>714</v>
      </c>
      <c r="C221" t="str">
        <f t="shared" si="18"/>
        <v>EC-HOM-0220</v>
      </c>
      <c r="D221" t="s">
        <v>715</v>
      </c>
      <c r="E221" t="str">
        <f t="shared" si="19"/>
        <v>Everyday Co. Deluxe Ergonomic Chair</v>
      </c>
      <c r="F221" t="s">
        <v>30</v>
      </c>
      <c r="G221" t="str">
        <f t="shared" si="20"/>
        <v>Home &amp; Office</v>
      </c>
      <c r="H221" t="s">
        <v>24</v>
      </c>
      <c r="I221" t="str" cm="1">
        <f t="array" ref="I221">PROPER(IF(TRIM(H221)&lt;&gt;"",TRIM(H221),IFERROR(INDEX('Brand Reference'!$A$2:$A$13,MATCH(TRUE,ISNUMBER(SEARCH('Brand Reference'!$A$2:$A$13,E221)),0)),"Unknown")))</f>
        <v>Everyday Co.</v>
      </c>
      <c r="J221" t="s">
        <v>74</v>
      </c>
      <c r="K221" t="str">
        <f t="shared" si="21"/>
        <v>Harbour Stockists</v>
      </c>
      <c r="L221" s="4">
        <v>67.540000000000006</v>
      </c>
      <c r="M221">
        <v>133.32</v>
      </c>
      <c r="N221" s="4">
        <f t="shared" si="22"/>
        <v>133.32</v>
      </c>
      <c r="O221" s="6">
        <v>142</v>
      </c>
      <c r="P221" s="6">
        <v>5</v>
      </c>
      <c r="Q221" t="s">
        <v>38</v>
      </c>
      <c r="R221" t="str">
        <f t="shared" si="23"/>
        <v>GLA-A2</v>
      </c>
      <c r="S221" s="1">
        <v>45723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FDAB9-BAB0-4C30-AB93-3A4F815E80CA}">
  <dimension ref="A1:L230"/>
  <sheetViews>
    <sheetView tabSelected="1" workbookViewId="0">
      <selection activeCell="M1" sqref="M1:M1048576"/>
    </sheetView>
  </sheetViews>
  <sheetFormatPr defaultRowHeight="15"/>
  <cols>
    <col min="1" max="1" width="10.7109375" bestFit="1" customWidth="1"/>
    <col min="2" max="2" width="14.7109375" bestFit="1" customWidth="1"/>
    <col min="3" max="3" width="45.42578125" bestFit="1" customWidth="1"/>
    <col min="4" max="4" width="15.7109375" bestFit="1" customWidth="1"/>
    <col min="5" max="5" width="17.42578125" bestFit="1" customWidth="1"/>
    <col min="6" max="6" width="20.85546875" bestFit="1" customWidth="1"/>
    <col min="7" max="7" width="13.7109375" bestFit="1" customWidth="1"/>
    <col min="8" max="8" width="16.5703125" bestFit="1" customWidth="1"/>
    <col min="9" max="9" width="14.28515625" bestFit="1" customWidth="1"/>
    <col min="10" max="10" width="12.85546875" bestFit="1" customWidth="1"/>
    <col min="11" max="11" width="19.140625" bestFit="1" customWidth="1"/>
    <col min="12" max="12" width="14" bestFit="1" customWidth="1"/>
  </cols>
  <sheetData>
    <row r="1" spans="1:12">
      <c r="A1" t="s">
        <v>716</v>
      </c>
      <c r="B1" t="s">
        <v>717</v>
      </c>
      <c r="C1" t="s">
        <v>719</v>
      </c>
      <c r="D1" t="s">
        <v>721</v>
      </c>
      <c r="E1" t="s">
        <v>723</v>
      </c>
      <c r="F1" t="s">
        <v>725</v>
      </c>
      <c r="G1" t="s">
        <v>727</v>
      </c>
      <c r="H1" t="s">
        <v>728</v>
      </c>
      <c r="I1" t="s">
        <v>730</v>
      </c>
      <c r="J1" t="s">
        <v>731</v>
      </c>
      <c r="K1" t="s">
        <v>732</v>
      </c>
      <c r="L1" t="s">
        <v>734</v>
      </c>
    </row>
    <row r="2" spans="1:12">
      <c r="A2" t="s">
        <v>14</v>
      </c>
      <c r="B2" t="s">
        <v>15</v>
      </c>
      <c r="C2" t="s">
        <v>16</v>
      </c>
      <c r="D2" t="s">
        <v>17</v>
      </c>
      <c r="E2" t="s">
        <v>735</v>
      </c>
      <c r="F2" t="s">
        <v>19</v>
      </c>
      <c r="G2">
        <v>81.099999999999994</v>
      </c>
      <c r="H2">
        <v>188.36</v>
      </c>
      <c r="I2">
        <v>215</v>
      </c>
      <c r="J2">
        <v>40</v>
      </c>
      <c r="K2" t="s">
        <v>20</v>
      </c>
      <c r="L2" s="1">
        <v>46195</v>
      </c>
    </row>
    <row r="3" spans="1:12">
      <c r="A3" t="s">
        <v>21</v>
      </c>
      <c r="B3" t="s">
        <v>22</v>
      </c>
      <c r="C3" t="s">
        <v>23</v>
      </c>
      <c r="D3" t="s">
        <v>17</v>
      </c>
      <c r="E3" t="s">
        <v>24</v>
      </c>
      <c r="F3" t="s">
        <v>25</v>
      </c>
      <c r="G3">
        <v>69.66</v>
      </c>
      <c r="H3" t="s">
        <v>736</v>
      </c>
      <c r="I3">
        <v>160</v>
      </c>
      <c r="J3">
        <v>15</v>
      </c>
      <c r="K3" t="s">
        <v>26</v>
      </c>
      <c r="L3" t="s">
        <v>848</v>
      </c>
    </row>
    <row r="4" spans="1:12">
      <c r="A4" t="s">
        <v>27</v>
      </c>
      <c r="B4" t="s">
        <v>737</v>
      </c>
      <c r="C4" t="s">
        <v>29</v>
      </c>
      <c r="D4" t="s">
        <v>30</v>
      </c>
      <c r="E4" t="s">
        <v>31</v>
      </c>
      <c r="F4" t="s">
        <v>32</v>
      </c>
      <c r="G4">
        <v>9.6199999999999992</v>
      </c>
      <c r="H4">
        <v>18.68</v>
      </c>
      <c r="I4">
        <v>147</v>
      </c>
      <c r="J4">
        <v>40</v>
      </c>
      <c r="K4" t="s">
        <v>26</v>
      </c>
      <c r="L4" s="1">
        <v>45580</v>
      </c>
    </row>
    <row r="5" spans="1:12">
      <c r="A5" t="s">
        <v>33</v>
      </c>
      <c r="B5" t="s">
        <v>34</v>
      </c>
      <c r="C5" t="s">
        <v>35</v>
      </c>
      <c r="D5" t="s">
        <v>36</v>
      </c>
      <c r="E5" t="s">
        <v>849</v>
      </c>
      <c r="F5" t="s">
        <v>37</v>
      </c>
      <c r="G5">
        <v>75.97</v>
      </c>
      <c r="H5">
        <v>148.88999999999999</v>
      </c>
      <c r="I5">
        <v>59</v>
      </c>
      <c r="J5">
        <v>30</v>
      </c>
      <c r="K5" t="s">
        <v>38</v>
      </c>
      <c r="L5" s="1">
        <v>46297</v>
      </c>
    </row>
    <row r="6" spans="1:12">
      <c r="A6" t="s">
        <v>39</v>
      </c>
      <c r="B6" t="s">
        <v>739</v>
      </c>
      <c r="C6" t="s">
        <v>41</v>
      </c>
      <c r="D6" t="s">
        <v>42</v>
      </c>
      <c r="E6" t="s">
        <v>43</v>
      </c>
      <c r="F6" t="s">
        <v>32</v>
      </c>
      <c r="G6">
        <v>4.3</v>
      </c>
      <c r="H6">
        <v>6.87</v>
      </c>
      <c r="I6">
        <v>66</v>
      </c>
      <c r="J6">
        <v>5</v>
      </c>
      <c r="K6" t="s">
        <v>44</v>
      </c>
      <c r="L6" s="1">
        <v>45502</v>
      </c>
    </row>
    <row r="7" spans="1:12">
      <c r="A7" t="s">
        <v>45</v>
      </c>
      <c r="B7" t="s">
        <v>46</v>
      </c>
      <c r="C7" t="s">
        <v>47</v>
      </c>
      <c r="D7" t="s">
        <v>30</v>
      </c>
      <c r="E7" t="s">
        <v>740</v>
      </c>
      <c r="F7" t="s">
        <v>49</v>
      </c>
      <c r="G7">
        <v>40.020000000000003</v>
      </c>
      <c r="H7">
        <v>74.69</v>
      </c>
      <c r="I7">
        <v>128</v>
      </c>
      <c r="J7">
        <v>30</v>
      </c>
      <c r="K7" t="s">
        <v>50</v>
      </c>
      <c r="L7" s="1">
        <v>45922</v>
      </c>
    </row>
    <row r="8" spans="1:12">
      <c r="A8" t="s">
        <v>51</v>
      </c>
      <c r="B8" t="s">
        <v>52</v>
      </c>
      <c r="C8" t="s">
        <v>53</v>
      </c>
      <c r="D8" t="s">
        <v>54</v>
      </c>
      <c r="E8" t="s">
        <v>741</v>
      </c>
      <c r="F8" t="s">
        <v>19</v>
      </c>
      <c r="G8">
        <v>24.48</v>
      </c>
      <c r="H8">
        <v>33.94</v>
      </c>
      <c r="J8">
        <v>40</v>
      </c>
      <c r="K8" t="s">
        <v>26</v>
      </c>
      <c r="L8" s="1">
        <v>46029</v>
      </c>
    </row>
    <row r="9" spans="1:12">
      <c r="A9" t="s">
        <v>56</v>
      </c>
      <c r="B9" t="s">
        <v>57</v>
      </c>
      <c r="C9" t="s">
        <v>58</v>
      </c>
      <c r="D9" t="s">
        <v>742</v>
      </c>
      <c r="E9" t="s">
        <v>48</v>
      </c>
      <c r="F9" t="s">
        <v>59</v>
      </c>
      <c r="G9" s="2">
        <v>48.39</v>
      </c>
      <c r="H9">
        <v>113.62</v>
      </c>
      <c r="I9">
        <v>148</v>
      </c>
      <c r="J9">
        <v>25</v>
      </c>
      <c r="K9" t="s">
        <v>44</v>
      </c>
      <c r="L9" s="1">
        <v>46229</v>
      </c>
    </row>
    <row r="10" spans="1:12">
      <c r="A10" t="s">
        <v>60</v>
      </c>
      <c r="B10" t="s">
        <v>61</v>
      </c>
      <c r="C10" t="s">
        <v>62</v>
      </c>
      <c r="D10" t="s">
        <v>63</v>
      </c>
      <c r="E10" t="s">
        <v>64</v>
      </c>
      <c r="G10" s="2">
        <v>71.95</v>
      </c>
      <c r="H10">
        <v>135.05000000000001</v>
      </c>
      <c r="I10">
        <v>32</v>
      </c>
      <c r="J10">
        <v>20</v>
      </c>
      <c r="K10" t="s">
        <v>20</v>
      </c>
      <c r="L10" s="1">
        <v>46312</v>
      </c>
    </row>
    <row r="11" spans="1:12">
      <c r="A11" t="s">
        <v>66</v>
      </c>
      <c r="B11" t="s">
        <v>67</v>
      </c>
      <c r="C11" t="s">
        <v>68</v>
      </c>
      <c r="D11" t="s">
        <v>42</v>
      </c>
      <c r="E11" t="s">
        <v>69</v>
      </c>
      <c r="F11" t="s">
        <v>743</v>
      </c>
      <c r="G11">
        <v>39.56</v>
      </c>
      <c r="H11">
        <v>77.19</v>
      </c>
      <c r="I11">
        <v>42</v>
      </c>
      <c r="J11">
        <v>15</v>
      </c>
      <c r="K11" t="s">
        <v>38</v>
      </c>
      <c r="L11" s="1">
        <v>45799</v>
      </c>
    </row>
    <row r="12" spans="1:12">
      <c r="A12" t="s">
        <v>70</v>
      </c>
      <c r="B12" t="s">
        <v>71</v>
      </c>
      <c r="C12" t="s">
        <v>72</v>
      </c>
      <c r="D12" t="s">
        <v>73</v>
      </c>
      <c r="E12" t="s">
        <v>64</v>
      </c>
      <c r="F12" t="s">
        <v>74</v>
      </c>
      <c r="G12">
        <v>28.15</v>
      </c>
      <c r="H12">
        <v>56.06</v>
      </c>
      <c r="I12">
        <v>251</v>
      </c>
      <c r="J12">
        <v>12</v>
      </c>
      <c r="K12" t="s">
        <v>38</v>
      </c>
      <c r="L12" t="s">
        <v>848</v>
      </c>
    </row>
    <row r="13" spans="1:12">
      <c r="A13" t="s">
        <v>75</v>
      </c>
      <c r="B13" t="s">
        <v>76</v>
      </c>
      <c r="C13" t="s">
        <v>744</v>
      </c>
      <c r="D13" t="s">
        <v>78</v>
      </c>
      <c r="E13" t="s">
        <v>31</v>
      </c>
      <c r="F13" t="s">
        <v>745</v>
      </c>
      <c r="G13">
        <v>57.56</v>
      </c>
      <c r="H13">
        <v>136.91</v>
      </c>
      <c r="I13">
        <v>156</v>
      </c>
      <c r="J13">
        <v>30</v>
      </c>
      <c r="K13" t="s">
        <v>38</v>
      </c>
      <c r="L13" s="1">
        <v>46091</v>
      </c>
    </row>
    <row r="14" spans="1:12">
      <c r="A14" t="s">
        <v>80</v>
      </c>
      <c r="B14" t="s">
        <v>81</v>
      </c>
      <c r="C14" t="s">
        <v>82</v>
      </c>
      <c r="D14" t="s">
        <v>30</v>
      </c>
      <c r="E14" t="s">
        <v>83</v>
      </c>
      <c r="F14" t="s">
        <v>49</v>
      </c>
      <c r="G14" s="2">
        <v>6.45</v>
      </c>
      <c r="H14">
        <v>11.17</v>
      </c>
      <c r="I14">
        <v>180</v>
      </c>
      <c r="J14">
        <v>5</v>
      </c>
      <c r="K14" t="s">
        <v>44</v>
      </c>
      <c r="L14" s="1">
        <v>45344</v>
      </c>
    </row>
    <row r="15" spans="1:12">
      <c r="A15" t="s">
        <v>84</v>
      </c>
      <c r="B15" t="s">
        <v>746</v>
      </c>
      <c r="C15" t="s">
        <v>86</v>
      </c>
      <c r="D15" t="s">
        <v>87</v>
      </c>
      <c r="E15" t="s">
        <v>48</v>
      </c>
      <c r="F15" t="s">
        <v>37</v>
      </c>
      <c r="G15">
        <v>40.83</v>
      </c>
      <c r="H15">
        <v>82.9</v>
      </c>
      <c r="I15">
        <v>87</v>
      </c>
      <c r="J15">
        <v>12</v>
      </c>
      <c r="K15" t="s">
        <v>38</v>
      </c>
      <c r="L15" s="1">
        <v>45715</v>
      </c>
    </row>
    <row r="16" spans="1:12">
      <c r="A16" t="s">
        <v>88</v>
      </c>
      <c r="B16" t="s">
        <v>89</v>
      </c>
      <c r="C16" t="s">
        <v>90</v>
      </c>
      <c r="D16" t="s">
        <v>54</v>
      </c>
      <c r="E16" t="s">
        <v>747</v>
      </c>
      <c r="F16" t="s">
        <v>74</v>
      </c>
      <c r="G16">
        <v>5.03</v>
      </c>
      <c r="H16">
        <v>10.37</v>
      </c>
      <c r="I16">
        <v>88</v>
      </c>
      <c r="J16">
        <v>5</v>
      </c>
      <c r="K16" t="s">
        <v>50</v>
      </c>
      <c r="L16" s="1">
        <v>45390</v>
      </c>
    </row>
    <row r="17" spans="1:12">
      <c r="A17" t="s">
        <v>91</v>
      </c>
      <c r="B17" t="s">
        <v>92</v>
      </c>
      <c r="C17" t="s">
        <v>93</v>
      </c>
      <c r="D17" t="s">
        <v>54</v>
      </c>
      <c r="E17" t="s">
        <v>748</v>
      </c>
      <c r="F17" t="s">
        <v>37</v>
      </c>
      <c r="G17">
        <v>46.08</v>
      </c>
      <c r="H17" t="s">
        <v>749</v>
      </c>
      <c r="I17">
        <v>70</v>
      </c>
      <c r="J17">
        <v>12</v>
      </c>
      <c r="K17" t="s">
        <v>26</v>
      </c>
      <c r="L17" s="1">
        <v>45672</v>
      </c>
    </row>
    <row r="18" spans="1:12">
      <c r="A18" t="s">
        <v>94</v>
      </c>
      <c r="B18" t="s">
        <v>95</v>
      </c>
      <c r="C18" t="s">
        <v>96</v>
      </c>
      <c r="D18" t="s">
        <v>73</v>
      </c>
      <c r="E18" t="s">
        <v>55</v>
      </c>
      <c r="F18" t="s">
        <v>74</v>
      </c>
      <c r="G18">
        <v>30.69</v>
      </c>
      <c r="H18" t="s">
        <v>750</v>
      </c>
      <c r="I18">
        <v>254</v>
      </c>
      <c r="J18">
        <v>30</v>
      </c>
      <c r="K18" t="s">
        <v>97</v>
      </c>
      <c r="L18" s="1">
        <v>45881</v>
      </c>
    </row>
    <row r="19" spans="1:12">
      <c r="A19" t="s">
        <v>98</v>
      </c>
      <c r="B19" t="s">
        <v>99</v>
      </c>
      <c r="C19" t="s">
        <v>100</v>
      </c>
      <c r="D19" t="s">
        <v>751</v>
      </c>
      <c r="E19" t="s">
        <v>48</v>
      </c>
      <c r="F19" t="s">
        <v>101</v>
      </c>
      <c r="G19">
        <v>45.65</v>
      </c>
      <c r="H19">
        <v>75.38</v>
      </c>
      <c r="I19">
        <v>48</v>
      </c>
      <c r="J19">
        <v>15</v>
      </c>
      <c r="K19" t="s">
        <v>752</v>
      </c>
      <c r="L19" s="1">
        <v>45765</v>
      </c>
    </row>
    <row r="20" spans="1:12">
      <c r="A20" t="s">
        <v>102</v>
      </c>
      <c r="B20" t="s">
        <v>103</v>
      </c>
      <c r="C20" t="s">
        <v>104</v>
      </c>
      <c r="D20" t="s">
        <v>753</v>
      </c>
      <c r="E20" t="s">
        <v>55</v>
      </c>
      <c r="F20" t="s">
        <v>49</v>
      </c>
      <c r="G20">
        <v>31.34</v>
      </c>
      <c r="H20">
        <v>47.71</v>
      </c>
      <c r="I20">
        <v>110</v>
      </c>
      <c r="J20">
        <v>10</v>
      </c>
      <c r="K20" t="s">
        <v>38</v>
      </c>
      <c r="L20" s="1">
        <v>45866</v>
      </c>
    </row>
    <row r="21" spans="1:12">
      <c r="A21" t="s">
        <v>105</v>
      </c>
      <c r="B21" t="s">
        <v>106</v>
      </c>
      <c r="C21" t="s">
        <v>107</v>
      </c>
      <c r="D21" t="s">
        <v>30</v>
      </c>
      <c r="E21" t="s">
        <v>43</v>
      </c>
      <c r="F21" t="s">
        <v>79</v>
      </c>
      <c r="G21">
        <v>48.21</v>
      </c>
      <c r="H21">
        <v>70.459999999999994</v>
      </c>
      <c r="I21">
        <v>135</v>
      </c>
      <c r="J21">
        <v>10</v>
      </c>
      <c r="K21" t="s">
        <v>20</v>
      </c>
      <c r="L21" s="1">
        <v>46185</v>
      </c>
    </row>
    <row r="22" spans="1:12">
      <c r="A22" t="s">
        <v>108</v>
      </c>
      <c r="B22" t="s">
        <v>109</v>
      </c>
      <c r="C22" t="s">
        <v>110</v>
      </c>
      <c r="D22" t="s">
        <v>17</v>
      </c>
      <c r="E22" t="s">
        <v>849</v>
      </c>
      <c r="F22" t="s">
        <v>79</v>
      </c>
      <c r="G22">
        <v>11</v>
      </c>
      <c r="H22">
        <v>18.64</v>
      </c>
      <c r="I22">
        <v>32</v>
      </c>
      <c r="J22">
        <v>20</v>
      </c>
      <c r="K22" t="s">
        <v>26</v>
      </c>
      <c r="L22" s="1">
        <v>45936</v>
      </c>
    </row>
    <row r="23" spans="1:12">
      <c r="A23" t="s">
        <v>111</v>
      </c>
      <c r="B23" t="s">
        <v>754</v>
      </c>
      <c r="C23" t="s">
        <v>113</v>
      </c>
      <c r="D23" t="s">
        <v>17</v>
      </c>
      <c r="E23" t="s">
        <v>83</v>
      </c>
      <c r="F23" t="s">
        <v>59</v>
      </c>
      <c r="G23">
        <v>3.48</v>
      </c>
      <c r="H23" t="s">
        <v>755</v>
      </c>
      <c r="I23">
        <v>11</v>
      </c>
      <c r="J23">
        <v>20</v>
      </c>
      <c r="K23" t="s">
        <v>50</v>
      </c>
      <c r="L23" s="1">
        <v>45543</v>
      </c>
    </row>
    <row r="24" spans="1:12">
      <c r="A24" t="s">
        <v>114</v>
      </c>
      <c r="B24" t="s">
        <v>756</v>
      </c>
      <c r="C24" t="s">
        <v>757</v>
      </c>
      <c r="D24" t="s">
        <v>117</v>
      </c>
      <c r="E24" t="s">
        <v>735</v>
      </c>
      <c r="F24" t="s">
        <v>32</v>
      </c>
      <c r="G24">
        <v>56.41</v>
      </c>
      <c r="H24">
        <v>114.32</v>
      </c>
      <c r="I24">
        <v>206</v>
      </c>
      <c r="J24">
        <v>25</v>
      </c>
      <c r="K24" t="s">
        <v>758</v>
      </c>
      <c r="L24" s="1">
        <v>45733</v>
      </c>
    </row>
    <row r="25" spans="1:12">
      <c r="A25" t="s">
        <v>118</v>
      </c>
      <c r="B25" t="s">
        <v>759</v>
      </c>
      <c r="C25" t="s">
        <v>120</v>
      </c>
      <c r="D25" t="s">
        <v>17</v>
      </c>
      <c r="E25" t="s">
        <v>121</v>
      </c>
      <c r="F25" t="s">
        <v>101</v>
      </c>
      <c r="G25">
        <v>78.69</v>
      </c>
      <c r="H25">
        <v>139.91</v>
      </c>
      <c r="I25">
        <v>182</v>
      </c>
      <c r="J25">
        <v>5</v>
      </c>
      <c r="K25" t="s">
        <v>26</v>
      </c>
      <c r="L25" s="1">
        <v>46186</v>
      </c>
    </row>
    <row r="26" spans="1:12">
      <c r="A26" t="s">
        <v>122</v>
      </c>
      <c r="B26" t="s">
        <v>123</v>
      </c>
      <c r="C26" t="s">
        <v>124</v>
      </c>
      <c r="D26" t="s">
        <v>753</v>
      </c>
      <c r="E26" t="s">
        <v>64</v>
      </c>
      <c r="F26" t="s">
        <v>49</v>
      </c>
      <c r="G26">
        <v>36.700000000000003</v>
      </c>
      <c r="H26">
        <v>73.19</v>
      </c>
      <c r="I26">
        <v>10</v>
      </c>
      <c r="J26">
        <v>25</v>
      </c>
      <c r="K26" t="s">
        <v>20</v>
      </c>
      <c r="L26" s="1">
        <v>45696</v>
      </c>
    </row>
    <row r="27" spans="1:12">
      <c r="A27" t="s">
        <v>125</v>
      </c>
      <c r="B27" t="s">
        <v>126</v>
      </c>
      <c r="C27" t="s">
        <v>760</v>
      </c>
      <c r="D27" t="s">
        <v>17</v>
      </c>
      <c r="E27" t="s">
        <v>761</v>
      </c>
      <c r="F27" t="s">
        <v>32</v>
      </c>
      <c r="G27">
        <v>12.61</v>
      </c>
      <c r="H27" t="s">
        <v>762</v>
      </c>
      <c r="I27">
        <v>154</v>
      </c>
      <c r="J27">
        <v>5</v>
      </c>
      <c r="K27" t="s">
        <v>97</v>
      </c>
      <c r="L27" s="1">
        <v>46161</v>
      </c>
    </row>
    <row r="28" spans="1:12">
      <c r="A28" t="s">
        <v>128</v>
      </c>
      <c r="B28" t="s">
        <v>129</v>
      </c>
      <c r="C28" t="s">
        <v>130</v>
      </c>
      <c r="D28" t="s">
        <v>42</v>
      </c>
      <c r="E28" t="s">
        <v>55</v>
      </c>
      <c r="F28" t="s">
        <v>25</v>
      </c>
      <c r="G28">
        <v>57.06</v>
      </c>
      <c r="H28">
        <v>125.67</v>
      </c>
      <c r="I28">
        <v>93</v>
      </c>
      <c r="J28">
        <v>5</v>
      </c>
      <c r="K28" t="s">
        <v>97</v>
      </c>
      <c r="L28" s="1">
        <v>46104</v>
      </c>
    </row>
    <row r="29" spans="1:12">
      <c r="A29" t="s">
        <v>131</v>
      </c>
      <c r="B29" t="s">
        <v>132</v>
      </c>
      <c r="C29" t="s">
        <v>133</v>
      </c>
      <c r="D29" t="s">
        <v>763</v>
      </c>
      <c r="E29" t="s">
        <v>83</v>
      </c>
      <c r="F29" t="s">
        <v>49</v>
      </c>
      <c r="G29">
        <v>24.04</v>
      </c>
      <c r="H29">
        <v>40.78</v>
      </c>
      <c r="I29">
        <v>45</v>
      </c>
      <c r="J29">
        <v>12</v>
      </c>
      <c r="K29" t="s">
        <v>26</v>
      </c>
      <c r="L29" s="1">
        <v>45369</v>
      </c>
    </row>
    <row r="30" spans="1:12">
      <c r="A30" t="s">
        <v>134</v>
      </c>
      <c r="B30" t="s">
        <v>764</v>
      </c>
      <c r="C30" t="s">
        <v>136</v>
      </c>
      <c r="D30" t="s">
        <v>751</v>
      </c>
      <c r="E30" t="s">
        <v>765</v>
      </c>
      <c r="F30" t="s">
        <v>49</v>
      </c>
      <c r="G30">
        <v>3.14</v>
      </c>
      <c r="H30">
        <v>7.62</v>
      </c>
      <c r="I30">
        <v>240</v>
      </c>
      <c r="J30">
        <v>5</v>
      </c>
      <c r="K30" t="s">
        <v>97</v>
      </c>
      <c r="L30" s="1">
        <v>45746</v>
      </c>
    </row>
    <row r="31" spans="1:12">
      <c r="A31" t="s">
        <v>137</v>
      </c>
      <c r="B31" t="s">
        <v>138</v>
      </c>
      <c r="C31" t="s">
        <v>139</v>
      </c>
      <c r="D31" t="s">
        <v>42</v>
      </c>
      <c r="E31" t="s">
        <v>748</v>
      </c>
      <c r="F31" t="s">
        <v>74</v>
      </c>
      <c r="G31">
        <v>25.03</v>
      </c>
      <c r="H31">
        <v>57.5</v>
      </c>
      <c r="I31">
        <v>191</v>
      </c>
      <c r="J31">
        <v>25</v>
      </c>
      <c r="K31" t="s">
        <v>38</v>
      </c>
      <c r="L31" s="1">
        <v>46232</v>
      </c>
    </row>
    <row r="32" spans="1:12">
      <c r="A32" t="s">
        <v>140</v>
      </c>
      <c r="B32" t="s">
        <v>141</v>
      </c>
      <c r="C32" t="s">
        <v>766</v>
      </c>
      <c r="D32" t="s">
        <v>30</v>
      </c>
      <c r="E32" t="s">
        <v>64</v>
      </c>
      <c r="F32" t="s">
        <v>79</v>
      </c>
      <c r="G32">
        <v>14.93</v>
      </c>
      <c r="H32">
        <v>34.83</v>
      </c>
      <c r="I32">
        <v>181</v>
      </c>
      <c r="J32">
        <v>30</v>
      </c>
      <c r="K32" t="s">
        <v>20</v>
      </c>
      <c r="L32" s="1">
        <v>45368</v>
      </c>
    </row>
    <row r="33" spans="1:12">
      <c r="A33" t="s">
        <v>143</v>
      </c>
      <c r="B33" t="s">
        <v>144</v>
      </c>
      <c r="C33" t="s">
        <v>145</v>
      </c>
      <c r="D33" t="s">
        <v>36</v>
      </c>
      <c r="E33" t="s">
        <v>146</v>
      </c>
      <c r="F33" t="s">
        <v>32</v>
      </c>
      <c r="G33">
        <v>63.43</v>
      </c>
      <c r="H33" t="s">
        <v>767</v>
      </c>
      <c r="I33">
        <v>9</v>
      </c>
      <c r="J33">
        <v>15</v>
      </c>
      <c r="K33" t="s">
        <v>20</v>
      </c>
      <c r="L33" s="1">
        <v>45920</v>
      </c>
    </row>
    <row r="34" spans="1:12">
      <c r="A34" t="s">
        <v>147</v>
      </c>
      <c r="B34" t="s">
        <v>148</v>
      </c>
      <c r="C34" t="s">
        <v>149</v>
      </c>
      <c r="D34" t="s">
        <v>850</v>
      </c>
      <c r="E34" t="s">
        <v>146</v>
      </c>
      <c r="F34" t="s">
        <v>25</v>
      </c>
      <c r="G34">
        <v>10.89</v>
      </c>
      <c r="H34">
        <v>16.399999999999999</v>
      </c>
      <c r="I34">
        <v>199</v>
      </c>
      <c r="J34">
        <v>25</v>
      </c>
      <c r="K34" t="s">
        <v>752</v>
      </c>
      <c r="L34" s="1">
        <v>45827</v>
      </c>
    </row>
    <row r="35" spans="1:12">
      <c r="A35" t="s">
        <v>150</v>
      </c>
      <c r="B35" t="s">
        <v>151</v>
      </c>
      <c r="C35" t="s">
        <v>152</v>
      </c>
      <c r="D35" t="s">
        <v>30</v>
      </c>
      <c r="E35" t="s">
        <v>121</v>
      </c>
      <c r="F35" t="s">
        <v>101</v>
      </c>
      <c r="G35">
        <v>26.65</v>
      </c>
      <c r="H35">
        <v>44.35</v>
      </c>
      <c r="I35">
        <v>68</v>
      </c>
      <c r="J35">
        <v>30</v>
      </c>
      <c r="K35" t="s">
        <v>38</v>
      </c>
      <c r="L35" s="1">
        <v>45678</v>
      </c>
    </row>
    <row r="36" spans="1:12">
      <c r="A36" t="s">
        <v>153</v>
      </c>
      <c r="B36" t="s">
        <v>154</v>
      </c>
      <c r="C36" t="s">
        <v>155</v>
      </c>
      <c r="D36" t="s">
        <v>54</v>
      </c>
      <c r="E36" t="s">
        <v>55</v>
      </c>
      <c r="F36" t="s">
        <v>59</v>
      </c>
      <c r="G36">
        <v>44.94</v>
      </c>
      <c r="H36">
        <v>69.55</v>
      </c>
      <c r="I36">
        <v>74</v>
      </c>
      <c r="J36">
        <v>12</v>
      </c>
      <c r="K36" t="s">
        <v>38</v>
      </c>
      <c r="L36" s="1">
        <v>45350</v>
      </c>
    </row>
    <row r="37" spans="1:12">
      <c r="A37" t="s">
        <v>156</v>
      </c>
      <c r="B37" t="s">
        <v>768</v>
      </c>
      <c r="C37" t="s">
        <v>158</v>
      </c>
      <c r="D37" t="s">
        <v>763</v>
      </c>
      <c r="E37" t="s">
        <v>849</v>
      </c>
      <c r="F37" t="s">
        <v>159</v>
      </c>
      <c r="G37">
        <v>46.26</v>
      </c>
      <c r="H37">
        <v>92.96</v>
      </c>
      <c r="I37">
        <v>127</v>
      </c>
      <c r="J37">
        <v>12</v>
      </c>
      <c r="K37" t="s">
        <v>44</v>
      </c>
      <c r="L37" s="1">
        <v>45509</v>
      </c>
    </row>
    <row r="38" spans="1:12">
      <c r="A38" t="s">
        <v>160</v>
      </c>
      <c r="B38" t="s">
        <v>161</v>
      </c>
      <c r="C38" t="s">
        <v>162</v>
      </c>
      <c r="D38" t="s">
        <v>17</v>
      </c>
      <c r="E38" t="s">
        <v>55</v>
      </c>
      <c r="F38" t="s">
        <v>159</v>
      </c>
      <c r="G38">
        <v>11.93</v>
      </c>
      <c r="H38">
        <v>22.33</v>
      </c>
      <c r="I38">
        <v>255</v>
      </c>
      <c r="J38">
        <v>10</v>
      </c>
      <c r="K38" t="s">
        <v>50</v>
      </c>
      <c r="L38" s="1">
        <v>45797</v>
      </c>
    </row>
    <row r="39" spans="1:12">
      <c r="A39" t="s">
        <v>163</v>
      </c>
      <c r="B39" t="s">
        <v>164</v>
      </c>
      <c r="C39" t="s">
        <v>165</v>
      </c>
      <c r="D39" t="s">
        <v>30</v>
      </c>
      <c r="E39" t="s">
        <v>735</v>
      </c>
      <c r="F39" t="s">
        <v>79</v>
      </c>
      <c r="G39">
        <v>9.48</v>
      </c>
      <c r="H39">
        <v>17.96</v>
      </c>
      <c r="I39">
        <v>159</v>
      </c>
      <c r="J39">
        <v>20</v>
      </c>
      <c r="K39" t="s">
        <v>26</v>
      </c>
      <c r="L39" s="1">
        <v>45754</v>
      </c>
    </row>
    <row r="40" spans="1:12">
      <c r="A40" t="s">
        <v>166</v>
      </c>
      <c r="B40" t="s">
        <v>167</v>
      </c>
      <c r="C40" t="s">
        <v>168</v>
      </c>
      <c r="D40" t="s">
        <v>63</v>
      </c>
      <c r="E40" t="s">
        <v>146</v>
      </c>
      <c r="F40" t="s">
        <v>19</v>
      </c>
      <c r="G40">
        <v>62.13</v>
      </c>
      <c r="H40">
        <v>142.46</v>
      </c>
      <c r="I40">
        <v>206</v>
      </c>
      <c r="J40">
        <v>25</v>
      </c>
      <c r="K40" t="s">
        <v>44</v>
      </c>
      <c r="L40" s="1">
        <v>45653</v>
      </c>
    </row>
    <row r="41" spans="1:12">
      <c r="A41" t="s">
        <v>169</v>
      </c>
      <c r="B41" t="s">
        <v>170</v>
      </c>
      <c r="C41" t="s">
        <v>171</v>
      </c>
      <c r="D41" t="s">
        <v>36</v>
      </c>
      <c r="E41" t="s">
        <v>735</v>
      </c>
      <c r="F41" t="s">
        <v>159</v>
      </c>
      <c r="G41">
        <v>14.98</v>
      </c>
      <c r="H41">
        <v>32.47</v>
      </c>
      <c r="I41">
        <v>65</v>
      </c>
      <c r="J41">
        <v>30</v>
      </c>
      <c r="K41" t="s">
        <v>20</v>
      </c>
      <c r="L41" s="1">
        <v>45840</v>
      </c>
    </row>
    <row r="42" spans="1:12">
      <c r="A42" t="s">
        <v>172</v>
      </c>
      <c r="B42" t="s">
        <v>173</v>
      </c>
      <c r="C42" t="s">
        <v>174</v>
      </c>
      <c r="D42" t="s">
        <v>42</v>
      </c>
      <c r="E42" t="s">
        <v>48</v>
      </c>
      <c r="F42" t="s">
        <v>769</v>
      </c>
      <c r="G42">
        <v>24.41</v>
      </c>
      <c r="H42" t="s">
        <v>770</v>
      </c>
      <c r="I42">
        <v>73</v>
      </c>
      <c r="J42">
        <v>10</v>
      </c>
      <c r="K42" t="s">
        <v>38</v>
      </c>
      <c r="L42" s="1">
        <v>45840</v>
      </c>
    </row>
    <row r="43" spans="1:12">
      <c r="A43" t="s">
        <v>175</v>
      </c>
      <c r="B43" t="s">
        <v>176</v>
      </c>
      <c r="C43" t="s">
        <v>177</v>
      </c>
      <c r="D43" t="s">
        <v>42</v>
      </c>
      <c r="E43" t="s">
        <v>55</v>
      </c>
      <c r="F43" t="s">
        <v>159</v>
      </c>
      <c r="G43">
        <v>58.02</v>
      </c>
      <c r="H43">
        <v>99.82</v>
      </c>
      <c r="I43">
        <v>253</v>
      </c>
      <c r="J43">
        <v>15</v>
      </c>
      <c r="K43" t="s">
        <v>771</v>
      </c>
      <c r="L43" s="1">
        <v>46161</v>
      </c>
    </row>
    <row r="44" spans="1:12">
      <c r="A44" t="s">
        <v>178</v>
      </c>
      <c r="B44" t="s">
        <v>772</v>
      </c>
      <c r="C44" t="s">
        <v>180</v>
      </c>
      <c r="D44" t="s">
        <v>17</v>
      </c>
      <c r="E44" t="s">
        <v>55</v>
      </c>
      <c r="F44" t="s">
        <v>74</v>
      </c>
      <c r="G44">
        <v>48.48</v>
      </c>
      <c r="H44">
        <v>78.900000000000006</v>
      </c>
      <c r="I44">
        <v>171</v>
      </c>
      <c r="J44">
        <v>30</v>
      </c>
      <c r="K44" t="s">
        <v>26</v>
      </c>
      <c r="L44" s="1">
        <v>46266</v>
      </c>
    </row>
    <row r="45" spans="1:12">
      <c r="A45" t="s">
        <v>181</v>
      </c>
      <c r="B45" t="s">
        <v>182</v>
      </c>
      <c r="C45" t="s">
        <v>183</v>
      </c>
      <c r="D45" t="s">
        <v>763</v>
      </c>
      <c r="E45" t="s">
        <v>184</v>
      </c>
      <c r="G45">
        <v>80.2</v>
      </c>
      <c r="H45">
        <v>137.08000000000001</v>
      </c>
      <c r="I45">
        <v>107</v>
      </c>
      <c r="J45">
        <v>40</v>
      </c>
      <c r="K45" t="s">
        <v>50</v>
      </c>
      <c r="L45" s="1">
        <v>45859</v>
      </c>
    </row>
    <row r="46" spans="1:12">
      <c r="A46" t="s">
        <v>185</v>
      </c>
      <c r="B46" t="s">
        <v>773</v>
      </c>
      <c r="C46" t="s">
        <v>187</v>
      </c>
      <c r="D46" t="s">
        <v>17</v>
      </c>
      <c r="E46" t="s">
        <v>146</v>
      </c>
      <c r="F46" t="s">
        <v>774</v>
      </c>
      <c r="G46">
        <v>3.14</v>
      </c>
      <c r="H46">
        <v>4.57</v>
      </c>
      <c r="I46">
        <v>168</v>
      </c>
      <c r="J46">
        <v>15</v>
      </c>
      <c r="K46" t="s">
        <v>38</v>
      </c>
      <c r="L46" s="1">
        <v>46241</v>
      </c>
    </row>
    <row r="47" spans="1:12">
      <c r="A47" t="s">
        <v>188</v>
      </c>
      <c r="B47" t="s">
        <v>189</v>
      </c>
      <c r="C47" t="s">
        <v>190</v>
      </c>
      <c r="D47" t="s">
        <v>191</v>
      </c>
      <c r="E47" t="s">
        <v>748</v>
      </c>
      <c r="G47">
        <v>61.14</v>
      </c>
      <c r="H47">
        <v>128.35</v>
      </c>
      <c r="I47">
        <v>68</v>
      </c>
      <c r="J47">
        <v>10</v>
      </c>
      <c r="K47" t="s">
        <v>758</v>
      </c>
      <c r="L47" s="1">
        <v>45349</v>
      </c>
    </row>
    <row r="48" spans="1:12">
      <c r="A48" t="s">
        <v>192</v>
      </c>
      <c r="B48" t="s">
        <v>193</v>
      </c>
      <c r="C48" t="s">
        <v>194</v>
      </c>
      <c r="D48" t="s">
        <v>191</v>
      </c>
      <c r="E48" t="s">
        <v>146</v>
      </c>
      <c r="F48" t="s">
        <v>159</v>
      </c>
      <c r="G48">
        <v>84.04</v>
      </c>
      <c r="H48" t="s">
        <v>775</v>
      </c>
      <c r="I48">
        <v>174</v>
      </c>
      <c r="J48">
        <v>25</v>
      </c>
      <c r="K48" t="s">
        <v>38</v>
      </c>
      <c r="L48" s="1">
        <v>46003</v>
      </c>
    </row>
    <row r="49" spans="1:12">
      <c r="A49" t="s">
        <v>195</v>
      </c>
      <c r="B49" t="s">
        <v>196</v>
      </c>
      <c r="C49" t="s">
        <v>197</v>
      </c>
      <c r="D49" t="s">
        <v>198</v>
      </c>
      <c r="E49" t="s">
        <v>48</v>
      </c>
      <c r="F49" t="s">
        <v>19</v>
      </c>
      <c r="G49">
        <v>42.77</v>
      </c>
      <c r="H49">
        <v>58.76</v>
      </c>
      <c r="I49">
        <v>187</v>
      </c>
      <c r="J49">
        <v>20</v>
      </c>
      <c r="K49" t="s">
        <v>26</v>
      </c>
      <c r="L49" s="1">
        <v>46246</v>
      </c>
    </row>
    <row r="50" spans="1:12">
      <c r="A50" t="s">
        <v>199</v>
      </c>
      <c r="B50" t="s">
        <v>200</v>
      </c>
      <c r="C50" t="s">
        <v>201</v>
      </c>
      <c r="D50" t="s">
        <v>63</v>
      </c>
      <c r="E50" t="s">
        <v>31</v>
      </c>
      <c r="F50" t="s">
        <v>32</v>
      </c>
      <c r="G50">
        <v>6.69</v>
      </c>
      <c r="H50">
        <v>12.06</v>
      </c>
      <c r="I50">
        <v>33</v>
      </c>
      <c r="J50">
        <v>20</v>
      </c>
      <c r="K50" t="s">
        <v>20</v>
      </c>
      <c r="L50" s="1">
        <v>46280</v>
      </c>
    </row>
    <row r="51" spans="1:12">
      <c r="A51" t="s">
        <v>202</v>
      </c>
      <c r="B51" t="s">
        <v>203</v>
      </c>
      <c r="C51" t="s">
        <v>204</v>
      </c>
      <c r="D51" t="s">
        <v>63</v>
      </c>
      <c r="E51" t="s">
        <v>43</v>
      </c>
      <c r="F51" t="s">
        <v>59</v>
      </c>
      <c r="G51">
        <v>30.32</v>
      </c>
      <c r="H51">
        <v>46.97</v>
      </c>
      <c r="I51">
        <v>89</v>
      </c>
      <c r="J51">
        <v>20</v>
      </c>
      <c r="K51" t="s">
        <v>38</v>
      </c>
      <c r="L51" s="1">
        <v>46076</v>
      </c>
    </row>
    <row r="52" spans="1:12">
      <c r="A52" t="s">
        <v>205</v>
      </c>
      <c r="B52" t="s">
        <v>206</v>
      </c>
      <c r="C52" t="s">
        <v>207</v>
      </c>
      <c r="D52" t="s">
        <v>17</v>
      </c>
      <c r="F52" t="s">
        <v>79</v>
      </c>
      <c r="G52">
        <v>73.03</v>
      </c>
      <c r="H52">
        <v>108.75</v>
      </c>
      <c r="I52">
        <v>108</v>
      </c>
      <c r="J52">
        <v>20</v>
      </c>
      <c r="K52" t="s">
        <v>38</v>
      </c>
      <c r="L52" s="1">
        <v>46292</v>
      </c>
    </row>
    <row r="53" spans="1:12">
      <c r="A53" t="s">
        <v>208</v>
      </c>
      <c r="B53" t="s">
        <v>209</v>
      </c>
      <c r="C53" t="s">
        <v>210</v>
      </c>
      <c r="D53" t="s">
        <v>87</v>
      </c>
      <c r="E53" t="s">
        <v>735</v>
      </c>
      <c r="F53" t="s">
        <v>32</v>
      </c>
      <c r="G53">
        <v>62.33</v>
      </c>
      <c r="H53">
        <v>97.11</v>
      </c>
      <c r="I53">
        <v>78</v>
      </c>
      <c r="J53">
        <v>12</v>
      </c>
      <c r="K53" t="s">
        <v>20</v>
      </c>
      <c r="L53" s="1">
        <v>45560</v>
      </c>
    </row>
    <row r="54" spans="1:12">
      <c r="A54" t="s">
        <v>211</v>
      </c>
      <c r="B54" t="s">
        <v>776</v>
      </c>
      <c r="C54" t="s">
        <v>213</v>
      </c>
      <c r="D54" t="s">
        <v>17</v>
      </c>
      <c r="E54" t="s">
        <v>64</v>
      </c>
      <c r="F54" t="s">
        <v>79</v>
      </c>
      <c r="G54">
        <v>81.94</v>
      </c>
      <c r="H54">
        <v>173.08</v>
      </c>
      <c r="I54">
        <v>65</v>
      </c>
      <c r="J54">
        <v>40</v>
      </c>
      <c r="K54" t="s">
        <v>771</v>
      </c>
      <c r="L54" s="1">
        <v>45636</v>
      </c>
    </row>
    <row r="55" spans="1:12">
      <c r="A55" t="s">
        <v>214</v>
      </c>
      <c r="B55" t="s">
        <v>215</v>
      </c>
      <c r="C55" t="s">
        <v>216</v>
      </c>
      <c r="D55" t="s">
        <v>191</v>
      </c>
      <c r="E55" t="s">
        <v>121</v>
      </c>
      <c r="F55" t="s">
        <v>49</v>
      </c>
      <c r="G55">
        <v>42.75</v>
      </c>
      <c r="H55">
        <v>83.39</v>
      </c>
      <c r="I55">
        <v>14</v>
      </c>
      <c r="J55">
        <v>20</v>
      </c>
      <c r="K55" t="s">
        <v>26</v>
      </c>
      <c r="L55" s="1">
        <v>45744</v>
      </c>
    </row>
    <row r="56" spans="1:12">
      <c r="A56" t="s">
        <v>217</v>
      </c>
      <c r="B56" t="s">
        <v>218</v>
      </c>
      <c r="C56" t="s">
        <v>219</v>
      </c>
      <c r="D56" t="s">
        <v>763</v>
      </c>
      <c r="E56" t="s">
        <v>48</v>
      </c>
      <c r="F56" t="s">
        <v>101</v>
      </c>
      <c r="G56">
        <v>29.07</v>
      </c>
      <c r="H56">
        <v>62.1</v>
      </c>
      <c r="I56">
        <v>20</v>
      </c>
      <c r="J56">
        <v>40</v>
      </c>
      <c r="K56" t="s">
        <v>20</v>
      </c>
      <c r="L56" t="s">
        <v>848</v>
      </c>
    </row>
    <row r="57" spans="1:12">
      <c r="A57" t="s">
        <v>220</v>
      </c>
      <c r="B57" t="s">
        <v>221</v>
      </c>
      <c r="C57" t="s">
        <v>222</v>
      </c>
      <c r="D57" t="s">
        <v>30</v>
      </c>
      <c r="E57" t="s">
        <v>31</v>
      </c>
      <c r="F57" t="s">
        <v>19</v>
      </c>
      <c r="G57">
        <v>4.53</v>
      </c>
      <c r="H57" t="s">
        <v>777</v>
      </c>
      <c r="I57">
        <v>46</v>
      </c>
      <c r="J57">
        <v>30</v>
      </c>
      <c r="K57" t="s">
        <v>97</v>
      </c>
      <c r="L57" s="1">
        <v>46179</v>
      </c>
    </row>
    <row r="58" spans="1:12">
      <c r="A58" t="s">
        <v>223</v>
      </c>
      <c r="B58" t="s">
        <v>224</v>
      </c>
      <c r="C58" t="s">
        <v>225</v>
      </c>
      <c r="D58" t="s">
        <v>198</v>
      </c>
      <c r="E58" t="s">
        <v>121</v>
      </c>
      <c r="F58" t="s">
        <v>19</v>
      </c>
      <c r="G58">
        <v>46.57</v>
      </c>
      <c r="H58">
        <v>107.46</v>
      </c>
      <c r="I58">
        <v>216</v>
      </c>
      <c r="J58">
        <v>40</v>
      </c>
      <c r="K58" t="s">
        <v>26</v>
      </c>
      <c r="L58" s="1">
        <v>46035</v>
      </c>
    </row>
    <row r="59" spans="1:12">
      <c r="A59" t="s">
        <v>226</v>
      </c>
      <c r="B59" t="s">
        <v>227</v>
      </c>
      <c r="C59" t="s">
        <v>228</v>
      </c>
      <c r="D59" t="s">
        <v>42</v>
      </c>
      <c r="E59" t="s">
        <v>146</v>
      </c>
      <c r="F59" t="s">
        <v>32</v>
      </c>
      <c r="G59">
        <v>76.47</v>
      </c>
      <c r="H59">
        <v>165.4</v>
      </c>
      <c r="I59">
        <v>59</v>
      </c>
      <c r="J59">
        <v>10</v>
      </c>
      <c r="K59" t="s">
        <v>50</v>
      </c>
      <c r="L59" s="1">
        <v>46016</v>
      </c>
    </row>
    <row r="60" spans="1:12">
      <c r="A60" t="s">
        <v>229</v>
      </c>
      <c r="B60" t="s">
        <v>230</v>
      </c>
      <c r="C60" t="s">
        <v>231</v>
      </c>
      <c r="D60" t="s">
        <v>17</v>
      </c>
      <c r="E60" t="s">
        <v>69</v>
      </c>
      <c r="F60" t="s">
        <v>769</v>
      </c>
      <c r="G60">
        <v>80.69</v>
      </c>
      <c r="H60">
        <v>196.18</v>
      </c>
      <c r="I60">
        <v>15</v>
      </c>
      <c r="J60">
        <v>12</v>
      </c>
      <c r="K60" t="s">
        <v>771</v>
      </c>
      <c r="L60" s="1">
        <v>45842</v>
      </c>
    </row>
    <row r="61" spans="1:12">
      <c r="A61" t="s">
        <v>232</v>
      </c>
      <c r="B61" t="s">
        <v>233</v>
      </c>
      <c r="C61" t="s">
        <v>234</v>
      </c>
      <c r="D61" t="s">
        <v>42</v>
      </c>
      <c r="E61" t="s">
        <v>83</v>
      </c>
      <c r="F61" t="s">
        <v>49</v>
      </c>
      <c r="G61">
        <v>24.81</v>
      </c>
      <c r="H61">
        <v>43.16</v>
      </c>
      <c r="I61">
        <v>70</v>
      </c>
      <c r="J61">
        <v>10</v>
      </c>
      <c r="K61" t="s">
        <v>97</v>
      </c>
      <c r="L61" s="1">
        <v>45586</v>
      </c>
    </row>
    <row r="62" spans="1:12">
      <c r="A62" t="s">
        <v>235</v>
      </c>
      <c r="B62" t="s">
        <v>236</v>
      </c>
      <c r="C62" t="s">
        <v>778</v>
      </c>
      <c r="D62" t="s">
        <v>54</v>
      </c>
      <c r="E62" t="s">
        <v>55</v>
      </c>
      <c r="F62" t="s">
        <v>74</v>
      </c>
      <c r="G62">
        <v>60.01</v>
      </c>
      <c r="H62">
        <v>117.99</v>
      </c>
      <c r="I62">
        <v>130</v>
      </c>
      <c r="J62">
        <v>10</v>
      </c>
      <c r="K62" t="s">
        <v>26</v>
      </c>
      <c r="L62" s="1">
        <v>46236</v>
      </c>
    </row>
    <row r="63" spans="1:12">
      <c r="A63" t="s">
        <v>238</v>
      </c>
      <c r="B63" t="s">
        <v>239</v>
      </c>
      <c r="C63" t="s">
        <v>240</v>
      </c>
      <c r="D63" t="s">
        <v>63</v>
      </c>
      <c r="E63" t="s">
        <v>146</v>
      </c>
      <c r="F63" t="s">
        <v>32</v>
      </c>
      <c r="G63">
        <v>8.8699999999999992</v>
      </c>
      <c r="H63">
        <v>12.38</v>
      </c>
      <c r="I63">
        <v>231</v>
      </c>
      <c r="J63">
        <v>10</v>
      </c>
      <c r="K63" t="s">
        <v>44</v>
      </c>
      <c r="L63" s="1">
        <v>46083</v>
      </c>
    </row>
    <row r="64" spans="1:12">
      <c r="A64" t="s">
        <v>241</v>
      </c>
      <c r="B64" t="s">
        <v>779</v>
      </c>
      <c r="C64" t="s">
        <v>243</v>
      </c>
      <c r="D64" t="s">
        <v>54</v>
      </c>
      <c r="E64" t="s">
        <v>146</v>
      </c>
      <c r="F64" t="s">
        <v>101</v>
      </c>
      <c r="G64">
        <v>13.32</v>
      </c>
      <c r="H64">
        <v>19.52</v>
      </c>
      <c r="I64">
        <v>47</v>
      </c>
      <c r="J64">
        <v>12</v>
      </c>
      <c r="K64" t="s">
        <v>20</v>
      </c>
      <c r="L64" s="1">
        <v>45814</v>
      </c>
    </row>
    <row r="65" spans="1:12">
      <c r="A65" t="s">
        <v>244</v>
      </c>
      <c r="B65" t="s">
        <v>245</v>
      </c>
      <c r="C65" t="s">
        <v>246</v>
      </c>
      <c r="D65" t="s">
        <v>17</v>
      </c>
      <c r="E65" t="s">
        <v>43</v>
      </c>
      <c r="F65" t="s">
        <v>19</v>
      </c>
      <c r="G65">
        <v>73.12</v>
      </c>
      <c r="H65">
        <v>125.65</v>
      </c>
      <c r="I65">
        <v>78</v>
      </c>
      <c r="J65">
        <v>20</v>
      </c>
      <c r="K65" t="s">
        <v>780</v>
      </c>
      <c r="L65" s="1">
        <v>46256</v>
      </c>
    </row>
    <row r="66" spans="1:12">
      <c r="A66" t="s">
        <v>247</v>
      </c>
      <c r="B66" t="s">
        <v>248</v>
      </c>
      <c r="C66" t="s">
        <v>249</v>
      </c>
      <c r="D66" t="s">
        <v>54</v>
      </c>
      <c r="E66" t="s">
        <v>31</v>
      </c>
      <c r="F66" t="s">
        <v>32</v>
      </c>
      <c r="G66">
        <v>73.510000000000005</v>
      </c>
      <c r="H66">
        <v>124.52</v>
      </c>
      <c r="I66">
        <v>21</v>
      </c>
      <c r="J66">
        <v>40</v>
      </c>
      <c r="K66" t="s">
        <v>97</v>
      </c>
      <c r="L66" s="1">
        <v>45802</v>
      </c>
    </row>
    <row r="67" spans="1:12">
      <c r="A67" t="s">
        <v>250</v>
      </c>
      <c r="B67" t="s">
        <v>251</v>
      </c>
      <c r="C67" t="s">
        <v>252</v>
      </c>
      <c r="D67" t="s">
        <v>30</v>
      </c>
      <c r="E67" t="s">
        <v>24</v>
      </c>
      <c r="F67" t="s">
        <v>49</v>
      </c>
      <c r="G67">
        <v>42.18</v>
      </c>
      <c r="H67">
        <v>57.7</v>
      </c>
      <c r="I67">
        <v>111</v>
      </c>
      <c r="J67">
        <v>30</v>
      </c>
      <c r="K67" t="s">
        <v>44</v>
      </c>
      <c r="L67" s="1">
        <v>45361</v>
      </c>
    </row>
    <row r="68" spans="1:12">
      <c r="A68" t="s">
        <v>253</v>
      </c>
      <c r="B68" t="s">
        <v>254</v>
      </c>
      <c r="C68" t="s">
        <v>255</v>
      </c>
      <c r="D68" t="s">
        <v>30</v>
      </c>
      <c r="E68" t="s">
        <v>184</v>
      </c>
      <c r="F68" t="s">
        <v>49</v>
      </c>
      <c r="G68">
        <v>37.950000000000003</v>
      </c>
      <c r="H68">
        <v>81.93</v>
      </c>
      <c r="I68">
        <v>13</v>
      </c>
      <c r="J68">
        <v>25</v>
      </c>
      <c r="K68" t="s">
        <v>752</v>
      </c>
      <c r="L68" s="1">
        <v>45632</v>
      </c>
    </row>
    <row r="69" spans="1:12">
      <c r="A69" t="s">
        <v>256</v>
      </c>
      <c r="B69" t="s">
        <v>781</v>
      </c>
      <c r="C69" t="s">
        <v>258</v>
      </c>
      <c r="D69" t="s">
        <v>36</v>
      </c>
      <c r="E69" t="s">
        <v>184</v>
      </c>
      <c r="F69" t="s">
        <v>101</v>
      </c>
      <c r="G69">
        <v>40.06</v>
      </c>
      <c r="H69">
        <v>89.68</v>
      </c>
      <c r="I69">
        <v>54</v>
      </c>
      <c r="J69">
        <v>30</v>
      </c>
      <c r="K69" t="s">
        <v>97</v>
      </c>
      <c r="L69" s="1">
        <v>46113</v>
      </c>
    </row>
    <row r="70" spans="1:12">
      <c r="A70" t="s">
        <v>259</v>
      </c>
      <c r="B70" t="s">
        <v>782</v>
      </c>
      <c r="C70" t="s">
        <v>261</v>
      </c>
      <c r="D70" t="s">
        <v>763</v>
      </c>
      <c r="E70" t="s">
        <v>64</v>
      </c>
      <c r="F70" t="s">
        <v>783</v>
      </c>
      <c r="G70">
        <v>33.19</v>
      </c>
      <c r="H70">
        <v>54.13</v>
      </c>
      <c r="I70">
        <v>18</v>
      </c>
      <c r="J70">
        <v>15</v>
      </c>
      <c r="K70" t="s">
        <v>784</v>
      </c>
      <c r="L70" s="1">
        <v>45528</v>
      </c>
    </row>
    <row r="71" spans="1:12">
      <c r="A71" t="s">
        <v>262</v>
      </c>
      <c r="B71" t="s">
        <v>785</v>
      </c>
      <c r="C71" t="s">
        <v>786</v>
      </c>
      <c r="D71" t="s">
        <v>17</v>
      </c>
      <c r="E71" t="s">
        <v>735</v>
      </c>
      <c r="F71" t="s">
        <v>25</v>
      </c>
      <c r="G71">
        <v>44.88</v>
      </c>
      <c r="H71">
        <v>106.7</v>
      </c>
      <c r="I71">
        <v>97</v>
      </c>
      <c r="J71">
        <v>40</v>
      </c>
      <c r="K71" t="s">
        <v>20</v>
      </c>
      <c r="L71" s="1">
        <v>45388</v>
      </c>
    </row>
    <row r="72" spans="1:12">
      <c r="A72" t="s">
        <v>265</v>
      </c>
      <c r="B72" t="s">
        <v>787</v>
      </c>
      <c r="C72" t="s">
        <v>788</v>
      </c>
      <c r="D72" t="s">
        <v>17</v>
      </c>
      <c r="E72" t="s">
        <v>64</v>
      </c>
      <c r="F72" t="s">
        <v>49</v>
      </c>
      <c r="G72" s="2">
        <v>55.72</v>
      </c>
      <c r="H72">
        <v>104.11</v>
      </c>
      <c r="I72">
        <v>132</v>
      </c>
      <c r="J72">
        <v>10</v>
      </c>
      <c r="K72" t="s">
        <v>50</v>
      </c>
      <c r="L72" s="1">
        <v>45635</v>
      </c>
    </row>
    <row r="73" spans="1:12">
      <c r="A73" t="s">
        <v>268</v>
      </c>
      <c r="B73" t="s">
        <v>269</v>
      </c>
      <c r="C73" t="s">
        <v>270</v>
      </c>
      <c r="D73" t="s">
        <v>30</v>
      </c>
      <c r="E73" t="s">
        <v>789</v>
      </c>
      <c r="F73" t="s">
        <v>19</v>
      </c>
      <c r="G73">
        <v>47.05</v>
      </c>
      <c r="H73">
        <v>75.33</v>
      </c>
      <c r="I73">
        <v>201</v>
      </c>
      <c r="J73">
        <v>40</v>
      </c>
      <c r="K73" t="s">
        <v>20</v>
      </c>
      <c r="L73" s="1">
        <v>45471</v>
      </c>
    </row>
    <row r="74" spans="1:12">
      <c r="A74" t="s">
        <v>271</v>
      </c>
      <c r="B74" t="s">
        <v>272</v>
      </c>
      <c r="C74" t="s">
        <v>273</v>
      </c>
      <c r="D74" t="s">
        <v>42</v>
      </c>
      <c r="F74" t="s">
        <v>37</v>
      </c>
      <c r="G74">
        <v>53.75</v>
      </c>
      <c r="H74">
        <v>82.71</v>
      </c>
      <c r="I74">
        <v>84</v>
      </c>
      <c r="J74">
        <v>15</v>
      </c>
      <c r="K74" t="s">
        <v>780</v>
      </c>
      <c r="L74" s="1">
        <v>45982</v>
      </c>
    </row>
    <row r="75" spans="1:12">
      <c r="A75" t="s">
        <v>274</v>
      </c>
      <c r="B75" t="s">
        <v>275</v>
      </c>
      <c r="C75" t="s">
        <v>276</v>
      </c>
      <c r="D75" t="s">
        <v>191</v>
      </c>
      <c r="E75" t="s">
        <v>48</v>
      </c>
      <c r="F75" t="s">
        <v>159</v>
      </c>
      <c r="G75">
        <v>64.12</v>
      </c>
      <c r="H75">
        <v>95.75</v>
      </c>
      <c r="I75">
        <v>124</v>
      </c>
      <c r="J75">
        <v>40</v>
      </c>
      <c r="K75" t="s">
        <v>97</v>
      </c>
      <c r="L75" s="1">
        <v>45597</v>
      </c>
    </row>
    <row r="76" spans="1:12">
      <c r="A76" t="s">
        <v>277</v>
      </c>
      <c r="B76" t="s">
        <v>790</v>
      </c>
      <c r="C76" t="s">
        <v>279</v>
      </c>
      <c r="D76" t="s">
        <v>73</v>
      </c>
      <c r="E76" t="s">
        <v>24</v>
      </c>
      <c r="F76" t="s">
        <v>59</v>
      </c>
      <c r="G76">
        <v>9.6199999999999992</v>
      </c>
      <c r="H76">
        <v>20.37</v>
      </c>
      <c r="I76">
        <v>214</v>
      </c>
      <c r="J76">
        <v>25</v>
      </c>
      <c r="K76" t="s">
        <v>50</v>
      </c>
      <c r="L76" s="1">
        <v>46021</v>
      </c>
    </row>
    <row r="77" spans="1:12">
      <c r="A77" t="s">
        <v>280</v>
      </c>
      <c r="B77" t="s">
        <v>281</v>
      </c>
      <c r="C77" t="s">
        <v>282</v>
      </c>
      <c r="D77" t="s">
        <v>30</v>
      </c>
      <c r="E77" t="s">
        <v>83</v>
      </c>
      <c r="F77" t="s">
        <v>49</v>
      </c>
      <c r="G77">
        <v>33.44</v>
      </c>
      <c r="H77">
        <v>54.15</v>
      </c>
      <c r="I77">
        <v>155</v>
      </c>
      <c r="J77">
        <v>12</v>
      </c>
      <c r="K77" t="s">
        <v>20</v>
      </c>
      <c r="L77" s="1">
        <v>45920</v>
      </c>
    </row>
    <row r="78" spans="1:12">
      <c r="A78" t="s">
        <v>283</v>
      </c>
      <c r="B78" t="s">
        <v>284</v>
      </c>
      <c r="C78" t="s">
        <v>285</v>
      </c>
      <c r="D78" t="s">
        <v>36</v>
      </c>
      <c r="F78" t="s">
        <v>743</v>
      </c>
      <c r="G78" s="2">
        <v>22.29</v>
      </c>
      <c r="H78">
        <v>41.65</v>
      </c>
      <c r="I78">
        <v>81</v>
      </c>
      <c r="J78">
        <v>40</v>
      </c>
      <c r="K78" t="s">
        <v>97</v>
      </c>
      <c r="L78" s="1">
        <v>45523</v>
      </c>
    </row>
    <row r="79" spans="1:12">
      <c r="A79" t="s">
        <v>286</v>
      </c>
      <c r="B79" t="s">
        <v>791</v>
      </c>
      <c r="C79" t="s">
        <v>288</v>
      </c>
      <c r="D79" t="s">
        <v>289</v>
      </c>
      <c r="E79" t="s">
        <v>146</v>
      </c>
      <c r="F79" t="s">
        <v>101</v>
      </c>
      <c r="G79">
        <v>23.07</v>
      </c>
      <c r="H79">
        <v>42.42</v>
      </c>
      <c r="I79">
        <v>151</v>
      </c>
      <c r="J79">
        <v>12</v>
      </c>
      <c r="K79" t="s">
        <v>44</v>
      </c>
      <c r="L79" s="1">
        <v>46072</v>
      </c>
    </row>
    <row r="80" spans="1:12">
      <c r="A80" t="s">
        <v>290</v>
      </c>
      <c r="B80" t="s">
        <v>291</v>
      </c>
      <c r="C80" t="s">
        <v>292</v>
      </c>
      <c r="D80" t="s">
        <v>17</v>
      </c>
      <c r="E80" t="s">
        <v>24</v>
      </c>
      <c r="F80" t="s">
        <v>25</v>
      </c>
      <c r="G80">
        <v>7.85</v>
      </c>
      <c r="H80">
        <v>13.92</v>
      </c>
      <c r="I80">
        <v>140</v>
      </c>
      <c r="J80">
        <v>40</v>
      </c>
      <c r="K80" t="s">
        <v>780</v>
      </c>
      <c r="L80" s="1">
        <v>46201</v>
      </c>
    </row>
    <row r="81" spans="1:12">
      <c r="A81" t="s">
        <v>293</v>
      </c>
      <c r="B81" t="s">
        <v>294</v>
      </c>
      <c r="C81" t="s">
        <v>295</v>
      </c>
      <c r="D81" t="s">
        <v>289</v>
      </c>
      <c r="E81" t="s">
        <v>741</v>
      </c>
      <c r="F81" t="s">
        <v>25</v>
      </c>
      <c r="G81">
        <v>69.94</v>
      </c>
      <c r="H81">
        <v>102.24</v>
      </c>
      <c r="I81">
        <v>15</v>
      </c>
      <c r="J81">
        <v>15</v>
      </c>
      <c r="K81" t="s">
        <v>50</v>
      </c>
      <c r="L81" s="1">
        <v>45728</v>
      </c>
    </row>
    <row r="82" spans="1:12">
      <c r="A82" t="s">
        <v>296</v>
      </c>
      <c r="B82" t="s">
        <v>792</v>
      </c>
      <c r="C82" t="s">
        <v>298</v>
      </c>
      <c r="D82" t="s">
        <v>198</v>
      </c>
      <c r="E82" t="s">
        <v>31</v>
      </c>
      <c r="F82" t="s">
        <v>32</v>
      </c>
      <c r="G82">
        <v>10.6</v>
      </c>
      <c r="H82">
        <v>18.8</v>
      </c>
      <c r="I82">
        <v>171</v>
      </c>
      <c r="J82">
        <v>30</v>
      </c>
      <c r="K82" t="s">
        <v>38</v>
      </c>
      <c r="L82" s="1">
        <v>45717</v>
      </c>
    </row>
    <row r="83" spans="1:12">
      <c r="A83" t="s">
        <v>299</v>
      </c>
      <c r="B83" t="s">
        <v>300</v>
      </c>
      <c r="C83" t="s">
        <v>301</v>
      </c>
      <c r="D83" t="s">
        <v>73</v>
      </c>
      <c r="E83" t="s">
        <v>146</v>
      </c>
      <c r="F83" t="s">
        <v>32</v>
      </c>
      <c r="G83">
        <v>78.56</v>
      </c>
      <c r="H83">
        <v>127.02</v>
      </c>
      <c r="I83">
        <v>260</v>
      </c>
      <c r="J83">
        <v>20</v>
      </c>
      <c r="K83" t="s">
        <v>97</v>
      </c>
      <c r="L83" s="1">
        <v>45368</v>
      </c>
    </row>
    <row r="84" spans="1:12">
      <c r="A84" t="s">
        <v>302</v>
      </c>
      <c r="B84" t="s">
        <v>303</v>
      </c>
      <c r="C84" t="s">
        <v>304</v>
      </c>
      <c r="D84" t="s">
        <v>191</v>
      </c>
      <c r="E84" t="s">
        <v>55</v>
      </c>
      <c r="F84" t="s">
        <v>32</v>
      </c>
      <c r="G84">
        <v>83.9</v>
      </c>
      <c r="H84">
        <v>172</v>
      </c>
      <c r="I84">
        <v>30</v>
      </c>
      <c r="J84">
        <v>20</v>
      </c>
      <c r="K84" t="s">
        <v>784</v>
      </c>
      <c r="L84" s="1">
        <v>45366</v>
      </c>
    </row>
    <row r="85" spans="1:12">
      <c r="A85" t="s">
        <v>305</v>
      </c>
      <c r="B85" t="s">
        <v>306</v>
      </c>
      <c r="C85" t="s">
        <v>307</v>
      </c>
      <c r="D85" t="s">
        <v>73</v>
      </c>
      <c r="E85" t="s">
        <v>64</v>
      </c>
      <c r="F85" t="s">
        <v>37</v>
      </c>
      <c r="G85">
        <v>54.32</v>
      </c>
      <c r="H85">
        <v>105.29</v>
      </c>
      <c r="I85">
        <v>146</v>
      </c>
      <c r="J85">
        <v>25</v>
      </c>
      <c r="K85" t="s">
        <v>38</v>
      </c>
      <c r="L85" s="1">
        <v>46010</v>
      </c>
    </row>
    <row r="86" spans="1:12">
      <c r="A86" t="s">
        <v>308</v>
      </c>
      <c r="B86" t="s">
        <v>793</v>
      </c>
      <c r="C86" t="s">
        <v>310</v>
      </c>
      <c r="D86" t="s">
        <v>17</v>
      </c>
      <c r="E86" t="s">
        <v>55</v>
      </c>
      <c r="F86" t="s">
        <v>101</v>
      </c>
      <c r="G86">
        <v>76.08</v>
      </c>
      <c r="H86">
        <v>133.19</v>
      </c>
      <c r="I86">
        <v>124</v>
      </c>
      <c r="J86">
        <v>30</v>
      </c>
      <c r="K86" t="s">
        <v>20</v>
      </c>
      <c r="L86" s="1">
        <v>46021</v>
      </c>
    </row>
    <row r="87" spans="1:12">
      <c r="A87" t="s">
        <v>311</v>
      </c>
      <c r="B87" t="s">
        <v>312</v>
      </c>
      <c r="C87" t="s">
        <v>313</v>
      </c>
      <c r="D87" t="s">
        <v>30</v>
      </c>
      <c r="E87" t="s">
        <v>69</v>
      </c>
      <c r="F87" t="s">
        <v>49</v>
      </c>
      <c r="G87">
        <v>84.79</v>
      </c>
      <c r="H87">
        <v>129.13999999999999</v>
      </c>
      <c r="I87">
        <v>97</v>
      </c>
      <c r="J87">
        <v>25</v>
      </c>
      <c r="K87" t="s">
        <v>20</v>
      </c>
      <c r="L87" s="1">
        <v>45355</v>
      </c>
    </row>
    <row r="88" spans="1:12">
      <c r="A88" t="s">
        <v>314</v>
      </c>
      <c r="B88" t="s">
        <v>315</v>
      </c>
      <c r="C88" t="s">
        <v>316</v>
      </c>
      <c r="D88" t="s">
        <v>17</v>
      </c>
      <c r="E88" t="s">
        <v>184</v>
      </c>
      <c r="F88" t="s">
        <v>159</v>
      </c>
      <c r="G88">
        <v>30.93</v>
      </c>
      <c r="H88">
        <v>59.31</v>
      </c>
      <c r="I88">
        <v>50</v>
      </c>
      <c r="J88">
        <v>30</v>
      </c>
      <c r="K88" t="s">
        <v>26</v>
      </c>
      <c r="L88" s="1">
        <v>45773</v>
      </c>
    </row>
    <row r="89" spans="1:12">
      <c r="A89" t="s">
        <v>317</v>
      </c>
      <c r="B89" t="s">
        <v>318</v>
      </c>
      <c r="C89" t="s">
        <v>319</v>
      </c>
      <c r="D89" t="s">
        <v>763</v>
      </c>
      <c r="E89" t="s">
        <v>24</v>
      </c>
      <c r="F89" t="s">
        <v>794</v>
      </c>
      <c r="G89">
        <v>36.47</v>
      </c>
      <c r="H89">
        <v>75.06</v>
      </c>
      <c r="I89">
        <v>97</v>
      </c>
      <c r="J89">
        <v>40</v>
      </c>
      <c r="K89" t="s">
        <v>97</v>
      </c>
      <c r="L89" s="1">
        <v>45990</v>
      </c>
    </row>
    <row r="90" spans="1:12">
      <c r="A90" t="s">
        <v>320</v>
      </c>
      <c r="B90" t="s">
        <v>321</v>
      </c>
      <c r="C90" t="s">
        <v>322</v>
      </c>
      <c r="D90" t="s">
        <v>17</v>
      </c>
      <c r="E90" t="s">
        <v>735</v>
      </c>
      <c r="F90" t="s">
        <v>101</v>
      </c>
      <c r="G90">
        <v>80.900000000000006</v>
      </c>
      <c r="H90">
        <v>190.72</v>
      </c>
      <c r="I90">
        <v>216</v>
      </c>
      <c r="J90">
        <v>12</v>
      </c>
      <c r="K90" t="s">
        <v>50</v>
      </c>
      <c r="L90" s="1">
        <v>45478</v>
      </c>
    </row>
    <row r="91" spans="1:12">
      <c r="A91" t="s">
        <v>323</v>
      </c>
      <c r="B91" t="s">
        <v>324</v>
      </c>
      <c r="C91" t="s">
        <v>325</v>
      </c>
      <c r="D91" t="s">
        <v>795</v>
      </c>
      <c r="E91" t="s">
        <v>24</v>
      </c>
      <c r="F91" t="s">
        <v>37</v>
      </c>
      <c r="G91">
        <v>41.58</v>
      </c>
      <c r="H91">
        <v>90.31</v>
      </c>
      <c r="J91">
        <v>30</v>
      </c>
      <c r="K91" t="s">
        <v>50</v>
      </c>
      <c r="L91" s="1">
        <v>45663</v>
      </c>
    </row>
    <row r="92" spans="1:12">
      <c r="A92" t="s">
        <v>326</v>
      </c>
      <c r="B92" t="s">
        <v>327</v>
      </c>
      <c r="C92" t="s">
        <v>328</v>
      </c>
      <c r="D92" t="s">
        <v>198</v>
      </c>
      <c r="E92" t="s">
        <v>31</v>
      </c>
      <c r="F92" t="s">
        <v>25</v>
      </c>
      <c r="G92">
        <v>11.22</v>
      </c>
      <c r="H92" t="s">
        <v>796</v>
      </c>
      <c r="I92">
        <v>5</v>
      </c>
      <c r="J92">
        <v>12</v>
      </c>
      <c r="K92" t="s">
        <v>44</v>
      </c>
      <c r="L92" s="1">
        <v>45921</v>
      </c>
    </row>
    <row r="93" spans="1:12">
      <c r="A93" t="s">
        <v>329</v>
      </c>
      <c r="B93" t="s">
        <v>330</v>
      </c>
      <c r="C93" t="s">
        <v>331</v>
      </c>
      <c r="D93" t="s">
        <v>198</v>
      </c>
      <c r="E93" t="s">
        <v>849</v>
      </c>
      <c r="F93" t="s">
        <v>794</v>
      </c>
      <c r="G93">
        <v>9.0500000000000007</v>
      </c>
      <c r="H93">
        <v>19.87</v>
      </c>
      <c r="I93">
        <v>135</v>
      </c>
      <c r="J93">
        <v>25</v>
      </c>
      <c r="K93" t="s">
        <v>38</v>
      </c>
      <c r="L93" s="1">
        <v>46166</v>
      </c>
    </row>
    <row r="94" spans="1:12">
      <c r="A94" t="s">
        <v>332</v>
      </c>
      <c r="B94" t="s">
        <v>333</v>
      </c>
      <c r="C94" t="s">
        <v>334</v>
      </c>
      <c r="D94" t="s">
        <v>198</v>
      </c>
      <c r="E94" t="s">
        <v>31</v>
      </c>
      <c r="F94" t="s">
        <v>37</v>
      </c>
      <c r="G94">
        <v>36.9</v>
      </c>
      <c r="H94">
        <v>51.2</v>
      </c>
      <c r="J94">
        <v>40</v>
      </c>
      <c r="K94" t="s">
        <v>50</v>
      </c>
      <c r="L94" s="1">
        <v>45886</v>
      </c>
    </row>
    <row r="95" spans="1:12">
      <c r="A95" t="s">
        <v>335</v>
      </c>
      <c r="B95" t="s">
        <v>336</v>
      </c>
      <c r="C95" t="s">
        <v>337</v>
      </c>
      <c r="D95" t="s">
        <v>30</v>
      </c>
      <c r="E95" t="s">
        <v>765</v>
      </c>
      <c r="F95" t="s">
        <v>32</v>
      </c>
      <c r="G95">
        <v>31.83</v>
      </c>
      <c r="H95">
        <v>61.08</v>
      </c>
      <c r="I95">
        <v>135</v>
      </c>
      <c r="J95">
        <v>20</v>
      </c>
      <c r="K95" t="s">
        <v>97</v>
      </c>
      <c r="L95" s="1">
        <v>45517</v>
      </c>
    </row>
    <row r="96" spans="1:12">
      <c r="A96" t="s">
        <v>338</v>
      </c>
      <c r="B96" t="s">
        <v>339</v>
      </c>
      <c r="C96" t="s">
        <v>340</v>
      </c>
      <c r="D96" t="s">
        <v>850</v>
      </c>
      <c r="E96" t="s">
        <v>43</v>
      </c>
      <c r="F96" t="s">
        <v>37</v>
      </c>
      <c r="G96">
        <v>62.48</v>
      </c>
      <c r="H96">
        <v>150.33000000000001</v>
      </c>
      <c r="I96">
        <v>62</v>
      </c>
      <c r="J96">
        <v>25</v>
      </c>
      <c r="K96" t="s">
        <v>38</v>
      </c>
      <c r="L96" t="s">
        <v>848</v>
      </c>
    </row>
    <row r="97" spans="1:12">
      <c r="A97" t="s">
        <v>341</v>
      </c>
      <c r="B97" t="s">
        <v>342</v>
      </c>
      <c r="C97" t="s">
        <v>343</v>
      </c>
      <c r="D97" t="s">
        <v>797</v>
      </c>
      <c r="E97" t="s">
        <v>55</v>
      </c>
      <c r="F97" t="s">
        <v>159</v>
      </c>
      <c r="G97">
        <v>74.180000000000007</v>
      </c>
      <c r="H97" t="s">
        <v>798</v>
      </c>
      <c r="I97">
        <v>231</v>
      </c>
      <c r="J97">
        <v>25</v>
      </c>
      <c r="K97" t="s">
        <v>20</v>
      </c>
      <c r="L97" s="1">
        <v>46064</v>
      </c>
    </row>
    <row r="98" spans="1:12">
      <c r="A98" t="s">
        <v>344</v>
      </c>
      <c r="B98" t="s">
        <v>799</v>
      </c>
      <c r="C98" t="s">
        <v>346</v>
      </c>
      <c r="D98" t="s">
        <v>30</v>
      </c>
      <c r="E98" t="s">
        <v>765</v>
      </c>
      <c r="F98" t="s">
        <v>49</v>
      </c>
      <c r="G98">
        <v>3.03</v>
      </c>
      <c r="H98">
        <v>5.47</v>
      </c>
      <c r="I98">
        <v>22</v>
      </c>
      <c r="J98">
        <v>5</v>
      </c>
      <c r="K98" t="s">
        <v>38</v>
      </c>
      <c r="L98" s="1">
        <v>45894</v>
      </c>
    </row>
    <row r="99" spans="1:12">
      <c r="A99" t="s">
        <v>347</v>
      </c>
      <c r="B99" t="s">
        <v>348</v>
      </c>
      <c r="C99" t="s">
        <v>349</v>
      </c>
      <c r="D99" t="s">
        <v>17</v>
      </c>
      <c r="E99" t="s">
        <v>851</v>
      </c>
      <c r="F99" t="s">
        <v>19</v>
      </c>
      <c r="G99">
        <v>77.92</v>
      </c>
      <c r="H99">
        <v>186.83</v>
      </c>
      <c r="I99">
        <v>131</v>
      </c>
      <c r="J99">
        <v>5</v>
      </c>
      <c r="K99" t="s">
        <v>20</v>
      </c>
      <c r="L99" s="1">
        <v>45714</v>
      </c>
    </row>
    <row r="100" spans="1:12">
      <c r="A100" t="s">
        <v>350</v>
      </c>
      <c r="B100" t="s">
        <v>351</v>
      </c>
      <c r="C100" t="s">
        <v>352</v>
      </c>
      <c r="D100" t="s">
        <v>198</v>
      </c>
      <c r="E100" t="s">
        <v>69</v>
      </c>
      <c r="F100" t="s">
        <v>79</v>
      </c>
      <c r="G100">
        <v>81.77</v>
      </c>
      <c r="H100">
        <v>158.93</v>
      </c>
      <c r="I100">
        <v>52</v>
      </c>
      <c r="J100">
        <v>5</v>
      </c>
      <c r="K100" t="s">
        <v>20</v>
      </c>
      <c r="L100" s="1">
        <v>45884</v>
      </c>
    </row>
    <row r="101" spans="1:12">
      <c r="A101" t="s">
        <v>353</v>
      </c>
      <c r="B101" t="s">
        <v>354</v>
      </c>
      <c r="C101" t="s">
        <v>355</v>
      </c>
      <c r="D101" t="s">
        <v>198</v>
      </c>
      <c r="E101" t="s">
        <v>800</v>
      </c>
      <c r="F101" t="s">
        <v>74</v>
      </c>
      <c r="G101">
        <v>67.959999999999994</v>
      </c>
      <c r="H101">
        <v>97.12</v>
      </c>
      <c r="I101">
        <v>198</v>
      </c>
      <c r="J101">
        <v>5</v>
      </c>
      <c r="K101" t="s">
        <v>38</v>
      </c>
      <c r="L101" s="1">
        <v>45572</v>
      </c>
    </row>
    <row r="102" spans="1:12">
      <c r="A102" t="s">
        <v>356</v>
      </c>
      <c r="B102" t="s">
        <v>357</v>
      </c>
      <c r="C102" t="s">
        <v>358</v>
      </c>
      <c r="D102" t="s">
        <v>17</v>
      </c>
      <c r="E102" t="s">
        <v>64</v>
      </c>
      <c r="F102" t="s">
        <v>79</v>
      </c>
      <c r="G102">
        <v>71.31</v>
      </c>
      <c r="H102" t="s">
        <v>801</v>
      </c>
      <c r="I102">
        <v>26</v>
      </c>
      <c r="J102">
        <v>30</v>
      </c>
      <c r="K102" t="s">
        <v>26</v>
      </c>
      <c r="L102" s="1">
        <v>45930</v>
      </c>
    </row>
    <row r="103" spans="1:12">
      <c r="A103" t="s">
        <v>359</v>
      </c>
      <c r="B103" t="s">
        <v>360</v>
      </c>
      <c r="C103" t="s">
        <v>361</v>
      </c>
      <c r="D103" t="s">
        <v>73</v>
      </c>
      <c r="E103" t="s">
        <v>69</v>
      </c>
      <c r="F103" t="s">
        <v>79</v>
      </c>
      <c r="G103">
        <v>7.87</v>
      </c>
      <c r="H103">
        <v>18.98</v>
      </c>
      <c r="I103">
        <v>211</v>
      </c>
      <c r="J103">
        <v>40</v>
      </c>
      <c r="K103" t="s">
        <v>20</v>
      </c>
      <c r="L103" s="1">
        <v>46195</v>
      </c>
    </row>
    <row r="104" spans="1:12">
      <c r="A104" t="s">
        <v>362</v>
      </c>
      <c r="B104" t="s">
        <v>363</v>
      </c>
      <c r="C104" t="s">
        <v>364</v>
      </c>
      <c r="D104" t="s">
        <v>17</v>
      </c>
      <c r="E104" t="s">
        <v>69</v>
      </c>
      <c r="F104" t="s">
        <v>79</v>
      </c>
      <c r="G104">
        <v>63.5</v>
      </c>
      <c r="H104">
        <v>122.32</v>
      </c>
      <c r="I104">
        <v>77</v>
      </c>
      <c r="J104">
        <v>15</v>
      </c>
      <c r="K104" t="s">
        <v>50</v>
      </c>
      <c r="L104" s="1">
        <v>45950</v>
      </c>
    </row>
    <row r="105" spans="1:12">
      <c r="A105" t="s">
        <v>365</v>
      </c>
      <c r="B105" t="s">
        <v>366</v>
      </c>
      <c r="C105" t="s">
        <v>367</v>
      </c>
      <c r="D105" t="s">
        <v>17</v>
      </c>
      <c r="E105" t="s">
        <v>24</v>
      </c>
      <c r="F105" t="s">
        <v>25</v>
      </c>
      <c r="G105">
        <v>31.96</v>
      </c>
      <c r="H105">
        <v>77.150000000000006</v>
      </c>
      <c r="I105">
        <v>5</v>
      </c>
      <c r="J105">
        <v>25</v>
      </c>
      <c r="K105" t="s">
        <v>38</v>
      </c>
      <c r="L105" s="1">
        <v>45481</v>
      </c>
    </row>
    <row r="106" spans="1:12">
      <c r="A106" t="s">
        <v>368</v>
      </c>
      <c r="B106" t="s">
        <v>369</v>
      </c>
      <c r="C106" t="s">
        <v>370</v>
      </c>
      <c r="D106" t="s">
        <v>30</v>
      </c>
      <c r="E106" t="s">
        <v>735</v>
      </c>
      <c r="F106" t="s">
        <v>49</v>
      </c>
      <c r="G106">
        <v>48.76</v>
      </c>
      <c r="H106">
        <v>110.03</v>
      </c>
      <c r="I106">
        <v>37</v>
      </c>
      <c r="J106">
        <v>15</v>
      </c>
      <c r="K106" t="s">
        <v>26</v>
      </c>
      <c r="L106" s="1">
        <v>46242</v>
      </c>
    </row>
    <row r="107" spans="1:12">
      <c r="A107" t="s">
        <v>371</v>
      </c>
      <c r="B107" t="s">
        <v>372</v>
      </c>
      <c r="C107" t="s">
        <v>373</v>
      </c>
      <c r="D107" t="s">
        <v>191</v>
      </c>
      <c r="E107" t="s">
        <v>69</v>
      </c>
      <c r="F107" t="s">
        <v>19</v>
      </c>
      <c r="G107">
        <v>12.11</v>
      </c>
      <c r="H107">
        <v>19.7</v>
      </c>
      <c r="I107">
        <v>241</v>
      </c>
      <c r="J107">
        <v>25</v>
      </c>
      <c r="K107" t="s">
        <v>97</v>
      </c>
      <c r="L107" s="1">
        <v>45683</v>
      </c>
    </row>
    <row r="108" spans="1:12">
      <c r="A108" t="s">
        <v>374</v>
      </c>
      <c r="B108" t="s">
        <v>375</v>
      </c>
      <c r="C108" t="s">
        <v>376</v>
      </c>
      <c r="D108" t="s">
        <v>54</v>
      </c>
      <c r="E108" t="s">
        <v>24</v>
      </c>
      <c r="F108" t="s">
        <v>769</v>
      </c>
      <c r="G108">
        <v>84.4</v>
      </c>
      <c r="H108">
        <v>188.06</v>
      </c>
      <c r="I108">
        <v>25</v>
      </c>
      <c r="J108">
        <v>25</v>
      </c>
      <c r="K108" t="s">
        <v>44</v>
      </c>
      <c r="L108" s="1">
        <v>45755</v>
      </c>
    </row>
    <row r="109" spans="1:12">
      <c r="A109" t="s">
        <v>377</v>
      </c>
      <c r="B109" t="s">
        <v>378</v>
      </c>
      <c r="C109" t="s">
        <v>379</v>
      </c>
      <c r="D109" t="s">
        <v>17</v>
      </c>
      <c r="E109" t="s">
        <v>64</v>
      </c>
      <c r="F109" t="s">
        <v>59</v>
      </c>
      <c r="G109">
        <v>75.84</v>
      </c>
      <c r="H109">
        <v>181.53</v>
      </c>
      <c r="I109">
        <v>52</v>
      </c>
      <c r="J109">
        <v>15</v>
      </c>
      <c r="K109" t="s">
        <v>26</v>
      </c>
      <c r="L109" s="1">
        <v>45920</v>
      </c>
    </row>
    <row r="110" spans="1:12">
      <c r="A110" t="s">
        <v>380</v>
      </c>
      <c r="B110" t="s">
        <v>381</v>
      </c>
      <c r="C110" t="s">
        <v>382</v>
      </c>
      <c r="D110" t="s">
        <v>42</v>
      </c>
      <c r="E110" t="s">
        <v>24</v>
      </c>
      <c r="F110" t="s">
        <v>37</v>
      </c>
      <c r="G110" s="2">
        <v>13.04</v>
      </c>
      <c r="H110">
        <v>31.11</v>
      </c>
      <c r="I110">
        <v>24</v>
      </c>
      <c r="J110">
        <v>10</v>
      </c>
      <c r="K110" t="s">
        <v>752</v>
      </c>
      <c r="L110" s="1">
        <v>45888</v>
      </c>
    </row>
    <row r="111" spans="1:12">
      <c r="A111" t="s">
        <v>383</v>
      </c>
      <c r="B111" t="s">
        <v>384</v>
      </c>
      <c r="C111" t="s">
        <v>385</v>
      </c>
      <c r="D111" t="s">
        <v>850</v>
      </c>
      <c r="E111" t="s">
        <v>146</v>
      </c>
      <c r="F111" t="s">
        <v>74</v>
      </c>
      <c r="G111">
        <v>18.93</v>
      </c>
      <c r="H111">
        <v>38.590000000000003</v>
      </c>
      <c r="I111">
        <v>163</v>
      </c>
      <c r="J111">
        <v>10</v>
      </c>
      <c r="K111" t="s">
        <v>38</v>
      </c>
      <c r="L111" s="1">
        <v>45810</v>
      </c>
    </row>
    <row r="112" spans="1:12">
      <c r="A112" t="s">
        <v>386</v>
      </c>
      <c r="B112" t="s">
        <v>387</v>
      </c>
      <c r="C112" t="s">
        <v>802</v>
      </c>
      <c r="D112" t="s">
        <v>36</v>
      </c>
      <c r="E112" t="s">
        <v>803</v>
      </c>
      <c r="F112" t="s">
        <v>101</v>
      </c>
      <c r="G112">
        <v>31.83</v>
      </c>
      <c r="H112">
        <v>66.64</v>
      </c>
      <c r="I112">
        <v>252</v>
      </c>
      <c r="J112">
        <v>40</v>
      </c>
      <c r="K112" t="s">
        <v>50</v>
      </c>
      <c r="L112" s="1">
        <v>46170</v>
      </c>
    </row>
    <row r="113" spans="1:12">
      <c r="A113" t="s">
        <v>389</v>
      </c>
      <c r="B113" t="s">
        <v>390</v>
      </c>
      <c r="C113" t="s">
        <v>391</v>
      </c>
      <c r="D113" t="s">
        <v>36</v>
      </c>
      <c r="E113" t="s">
        <v>735</v>
      </c>
      <c r="F113" t="s">
        <v>37</v>
      </c>
      <c r="G113">
        <v>48.14</v>
      </c>
      <c r="H113">
        <v>92.78</v>
      </c>
      <c r="I113">
        <v>206</v>
      </c>
      <c r="J113">
        <v>10</v>
      </c>
      <c r="K113" t="s">
        <v>44</v>
      </c>
      <c r="L113" s="1">
        <v>45334</v>
      </c>
    </row>
    <row r="114" spans="1:12">
      <c r="A114" t="s">
        <v>392</v>
      </c>
      <c r="B114" t="s">
        <v>393</v>
      </c>
      <c r="C114" t="s">
        <v>804</v>
      </c>
      <c r="D114" t="s">
        <v>17</v>
      </c>
      <c r="E114" t="s">
        <v>805</v>
      </c>
      <c r="F114" t="s">
        <v>25</v>
      </c>
      <c r="G114">
        <v>74.040000000000006</v>
      </c>
      <c r="H114">
        <v>138.47999999999999</v>
      </c>
      <c r="I114">
        <v>61</v>
      </c>
      <c r="J114">
        <v>25</v>
      </c>
      <c r="K114" t="s">
        <v>20</v>
      </c>
      <c r="L114" s="1">
        <v>45541</v>
      </c>
    </row>
    <row r="115" spans="1:12">
      <c r="A115" t="s">
        <v>395</v>
      </c>
      <c r="B115" t="s">
        <v>396</v>
      </c>
      <c r="C115" t="s">
        <v>397</v>
      </c>
      <c r="D115" t="s">
        <v>795</v>
      </c>
      <c r="E115" t="s">
        <v>184</v>
      </c>
      <c r="F115" t="s">
        <v>806</v>
      </c>
      <c r="G115">
        <v>19.87</v>
      </c>
      <c r="H115">
        <v>47.7</v>
      </c>
      <c r="I115">
        <v>4</v>
      </c>
      <c r="J115">
        <v>10</v>
      </c>
      <c r="K115" t="s">
        <v>44</v>
      </c>
      <c r="L115" s="1">
        <v>45370</v>
      </c>
    </row>
    <row r="116" spans="1:12">
      <c r="A116" t="s">
        <v>398</v>
      </c>
      <c r="B116" t="s">
        <v>399</v>
      </c>
      <c r="C116" t="s">
        <v>400</v>
      </c>
      <c r="D116" t="s">
        <v>191</v>
      </c>
      <c r="E116" t="s">
        <v>55</v>
      </c>
      <c r="G116">
        <v>60.26</v>
      </c>
      <c r="H116">
        <v>101.34</v>
      </c>
      <c r="I116">
        <v>157</v>
      </c>
      <c r="J116">
        <v>30</v>
      </c>
      <c r="K116" t="s">
        <v>44</v>
      </c>
      <c r="L116" s="1">
        <v>45878</v>
      </c>
    </row>
    <row r="117" spans="1:12">
      <c r="A117" t="s">
        <v>401</v>
      </c>
      <c r="B117" t="s">
        <v>402</v>
      </c>
      <c r="C117" t="s">
        <v>403</v>
      </c>
      <c r="D117" t="s">
        <v>42</v>
      </c>
      <c r="E117" t="s">
        <v>184</v>
      </c>
      <c r="F117" t="s">
        <v>19</v>
      </c>
      <c r="G117" s="2">
        <v>32.67</v>
      </c>
      <c r="H117">
        <v>51.84</v>
      </c>
      <c r="I117">
        <v>250</v>
      </c>
      <c r="J117">
        <v>20</v>
      </c>
      <c r="K117" t="s">
        <v>50</v>
      </c>
      <c r="L117" s="1">
        <v>45941</v>
      </c>
    </row>
    <row r="118" spans="1:12">
      <c r="A118" t="s">
        <v>404</v>
      </c>
      <c r="B118" t="s">
        <v>405</v>
      </c>
      <c r="C118" t="s">
        <v>807</v>
      </c>
      <c r="D118" t="s">
        <v>36</v>
      </c>
      <c r="E118" t="s">
        <v>789</v>
      </c>
      <c r="F118" t="s">
        <v>32</v>
      </c>
      <c r="G118">
        <v>17.649999999999999</v>
      </c>
      <c r="H118">
        <v>32.76</v>
      </c>
      <c r="I118">
        <v>112</v>
      </c>
      <c r="J118">
        <v>15</v>
      </c>
      <c r="K118" t="s">
        <v>44</v>
      </c>
      <c r="L118" s="1">
        <v>45924</v>
      </c>
    </row>
    <row r="119" spans="1:12">
      <c r="A119" t="s">
        <v>407</v>
      </c>
      <c r="B119" t="s">
        <v>808</v>
      </c>
      <c r="C119" t="s">
        <v>409</v>
      </c>
      <c r="D119" t="s">
        <v>742</v>
      </c>
      <c r="E119" t="s">
        <v>83</v>
      </c>
      <c r="F119" t="s">
        <v>37</v>
      </c>
      <c r="G119">
        <v>54.43</v>
      </c>
      <c r="H119">
        <v>90</v>
      </c>
      <c r="I119">
        <v>237</v>
      </c>
      <c r="J119">
        <v>25</v>
      </c>
      <c r="K119" t="s">
        <v>38</v>
      </c>
      <c r="L119" s="1">
        <v>45429</v>
      </c>
    </row>
    <row r="120" spans="1:12">
      <c r="A120" t="s">
        <v>410</v>
      </c>
      <c r="B120" t="s">
        <v>411</v>
      </c>
      <c r="C120" t="s">
        <v>412</v>
      </c>
      <c r="D120" t="s">
        <v>42</v>
      </c>
      <c r="E120" t="s">
        <v>31</v>
      </c>
      <c r="F120" t="s">
        <v>159</v>
      </c>
      <c r="G120">
        <v>60.08</v>
      </c>
      <c r="H120">
        <v>99.62</v>
      </c>
      <c r="I120">
        <v>28</v>
      </c>
      <c r="J120">
        <v>12</v>
      </c>
      <c r="K120" t="s">
        <v>38</v>
      </c>
      <c r="L120" s="1">
        <v>45798</v>
      </c>
    </row>
    <row r="121" spans="1:12">
      <c r="A121" t="s">
        <v>413</v>
      </c>
      <c r="B121" t="s">
        <v>809</v>
      </c>
      <c r="C121" t="s">
        <v>415</v>
      </c>
      <c r="D121" t="s">
        <v>810</v>
      </c>
      <c r="E121" t="s">
        <v>64</v>
      </c>
      <c r="F121" t="s">
        <v>74</v>
      </c>
      <c r="G121">
        <v>25.66</v>
      </c>
      <c r="H121">
        <v>39.450000000000003</v>
      </c>
      <c r="I121">
        <v>140</v>
      </c>
      <c r="J121">
        <v>40</v>
      </c>
      <c r="K121" t="s">
        <v>38</v>
      </c>
      <c r="L121" s="1">
        <v>45862</v>
      </c>
    </row>
    <row r="122" spans="1:12">
      <c r="A122" t="s">
        <v>416</v>
      </c>
      <c r="B122" t="s">
        <v>417</v>
      </c>
      <c r="C122" t="s">
        <v>418</v>
      </c>
      <c r="D122" t="s">
        <v>17</v>
      </c>
      <c r="E122" t="s">
        <v>146</v>
      </c>
      <c r="F122" t="s">
        <v>49</v>
      </c>
      <c r="G122">
        <v>35.119999999999997</v>
      </c>
      <c r="H122">
        <v>54.34</v>
      </c>
      <c r="I122">
        <v>47</v>
      </c>
      <c r="J122">
        <v>25</v>
      </c>
      <c r="K122" t="s">
        <v>50</v>
      </c>
      <c r="L122" s="1">
        <v>46119</v>
      </c>
    </row>
    <row r="123" spans="1:12">
      <c r="A123" t="s">
        <v>419</v>
      </c>
      <c r="B123" t="s">
        <v>420</v>
      </c>
      <c r="C123" t="s">
        <v>421</v>
      </c>
      <c r="D123" t="s">
        <v>73</v>
      </c>
      <c r="E123" t="s">
        <v>83</v>
      </c>
      <c r="F123" t="s">
        <v>101</v>
      </c>
      <c r="G123" s="2">
        <v>83.36</v>
      </c>
      <c r="H123">
        <v>116.47</v>
      </c>
      <c r="I123">
        <v>160</v>
      </c>
      <c r="J123">
        <v>12</v>
      </c>
      <c r="K123" t="s">
        <v>44</v>
      </c>
      <c r="L123" s="1">
        <v>45330</v>
      </c>
    </row>
    <row r="124" spans="1:12">
      <c r="A124" t="s">
        <v>422</v>
      </c>
      <c r="B124" t="s">
        <v>423</v>
      </c>
      <c r="C124" t="s">
        <v>424</v>
      </c>
      <c r="D124" t="s">
        <v>17</v>
      </c>
      <c r="E124" t="s">
        <v>43</v>
      </c>
      <c r="F124" t="s">
        <v>19</v>
      </c>
      <c r="G124">
        <v>18.66</v>
      </c>
      <c r="H124">
        <v>41.69</v>
      </c>
      <c r="I124">
        <v>79</v>
      </c>
      <c r="J124">
        <v>40</v>
      </c>
      <c r="K124" t="s">
        <v>20</v>
      </c>
      <c r="L124" s="1">
        <v>45703</v>
      </c>
    </row>
    <row r="125" spans="1:12">
      <c r="A125" t="s">
        <v>425</v>
      </c>
      <c r="B125" t="s">
        <v>426</v>
      </c>
      <c r="C125" t="s">
        <v>427</v>
      </c>
      <c r="D125" t="s">
        <v>42</v>
      </c>
      <c r="E125" t="s">
        <v>83</v>
      </c>
      <c r="F125" t="s">
        <v>59</v>
      </c>
      <c r="G125">
        <v>83.79</v>
      </c>
      <c r="H125">
        <v>157.12</v>
      </c>
      <c r="I125">
        <v>49</v>
      </c>
      <c r="J125">
        <v>30</v>
      </c>
      <c r="K125" t="s">
        <v>20</v>
      </c>
      <c r="L125" s="1">
        <v>46110</v>
      </c>
    </row>
    <row r="126" spans="1:12">
      <c r="A126" t="s">
        <v>428</v>
      </c>
      <c r="B126" t="s">
        <v>429</v>
      </c>
      <c r="C126" t="s">
        <v>430</v>
      </c>
      <c r="D126" t="s">
        <v>42</v>
      </c>
      <c r="E126" t="s">
        <v>184</v>
      </c>
      <c r="F126" t="s">
        <v>769</v>
      </c>
      <c r="G126">
        <v>17.579999999999998</v>
      </c>
      <c r="H126">
        <v>28.48</v>
      </c>
      <c r="I126">
        <v>123</v>
      </c>
      <c r="J126">
        <v>5</v>
      </c>
      <c r="K126" t="s">
        <v>20</v>
      </c>
      <c r="L126" s="1">
        <v>45393</v>
      </c>
    </row>
    <row r="127" spans="1:12">
      <c r="A127" t="s">
        <v>431</v>
      </c>
      <c r="B127" t="s">
        <v>432</v>
      </c>
      <c r="C127" t="s">
        <v>433</v>
      </c>
      <c r="D127" t="s">
        <v>30</v>
      </c>
      <c r="E127" t="s">
        <v>83</v>
      </c>
      <c r="F127" t="s">
        <v>59</v>
      </c>
      <c r="G127">
        <v>18.5</v>
      </c>
      <c r="H127" t="s">
        <v>811</v>
      </c>
      <c r="I127">
        <v>44</v>
      </c>
      <c r="J127">
        <v>30</v>
      </c>
      <c r="K127" t="s">
        <v>26</v>
      </c>
      <c r="L127" s="1">
        <v>46300</v>
      </c>
    </row>
    <row r="128" spans="1:12">
      <c r="A128" t="s">
        <v>434</v>
      </c>
      <c r="B128" t="s">
        <v>435</v>
      </c>
      <c r="C128" t="s">
        <v>436</v>
      </c>
      <c r="D128" t="s">
        <v>812</v>
      </c>
      <c r="E128" t="s">
        <v>43</v>
      </c>
      <c r="F128" t="s">
        <v>32</v>
      </c>
      <c r="G128">
        <v>84.86</v>
      </c>
      <c r="H128">
        <v>153.63999999999999</v>
      </c>
      <c r="I128">
        <v>21</v>
      </c>
      <c r="J128">
        <v>10</v>
      </c>
      <c r="K128" t="s">
        <v>758</v>
      </c>
      <c r="L128" s="1">
        <v>45598</v>
      </c>
    </row>
    <row r="129" spans="1:12">
      <c r="A129" t="s">
        <v>437</v>
      </c>
      <c r="B129" t="s">
        <v>438</v>
      </c>
      <c r="C129" t="s">
        <v>813</v>
      </c>
      <c r="D129" t="s">
        <v>17</v>
      </c>
      <c r="E129" t="s">
        <v>735</v>
      </c>
      <c r="F129" t="s">
        <v>19</v>
      </c>
      <c r="G129">
        <v>50.6</v>
      </c>
      <c r="H129">
        <v>102.76</v>
      </c>
      <c r="I129">
        <v>104</v>
      </c>
      <c r="J129">
        <v>10</v>
      </c>
      <c r="K129" t="s">
        <v>44</v>
      </c>
      <c r="L129" s="1">
        <v>45681</v>
      </c>
    </row>
    <row r="130" spans="1:12">
      <c r="A130" t="s">
        <v>440</v>
      </c>
      <c r="B130" t="s">
        <v>441</v>
      </c>
      <c r="C130" t="s">
        <v>442</v>
      </c>
      <c r="D130" t="s">
        <v>763</v>
      </c>
      <c r="E130" t="s">
        <v>48</v>
      </c>
      <c r="G130" s="2">
        <v>12.38</v>
      </c>
      <c r="H130">
        <v>24.31</v>
      </c>
      <c r="I130">
        <v>61</v>
      </c>
      <c r="J130">
        <v>12</v>
      </c>
      <c r="K130" t="s">
        <v>44</v>
      </c>
      <c r="L130" s="1">
        <v>45509</v>
      </c>
    </row>
    <row r="131" spans="1:12">
      <c r="A131" t="s">
        <v>443</v>
      </c>
      <c r="B131" t="s">
        <v>444</v>
      </c>
      <c r="C131" t="s">
        <v>445</v>
      </c>
      <c r="D131" t="s">
        <v>42</v>
      </c>
      <c r="E131" t="s">
        <v>48</v>
      </c>
      <c r="F131" t="s">
        <v>59</v>
      </c>
      <c r="G131">
        <v>77.06</v>
      </c>
      <c r="H131">
        <v>108.82</v>
      </c>
      <c r="I131">
        <v>202</v>
      </c>
      <c r="J131">
        <v>15</v>
      </c>
      <c r="K131" t="s">
        <v>44</v>
      </c>
      <c r="L131" s="1">
        <v>45967</v>
      </c>
    </row>
    <row r="132" spans="1:12">
      <c r="A132" t="s">
        <v>446</v>
      </c>
      <c r="B132" t="s">
        <v>447</v>
      </c>
      <c r="C132" t="s">
        <v>448</v>
      </c>
      <c r="D132" t="s">
        <v>42</v>
      </c>
      <c r="E132" t="s">
        <v>146</v>
      </c>
      <c r="F132" t="s">
        <v>59</v>
      </c>
      <c r="G132">
        <v>18.420000000000002</v>
      </c>
      <c r="H132">
        <v>35.99</v>
      </c>
      <c r="I132">
        <v>46</v>
      </c>
      <c r="J132">
        <v>12</v>
      </c>
      <c r="K132" t="s">
        <v>44</v>
      </c>
      <c r="L132" s="1">
        <v>45837</v>
      </c>
    </row>
    <row r="133" spans="1:12">
      <c r="A133" t="s">
        <v>449</v>
      </c>
      <c r="B133" t="s">
        <v>450</v>
      </c>
      <c r="C133" t="s">
        <v>451</v>
      </c>
      <c r="D133" t="s">
        <v>812</v>
      </c>
      <c r="E133" t="s">
        <v>55</v>
      </c>
      <c r="F133" t="s">
        <v>32</v>
      </c>
      <c r="G133">
        <v>64.25</v>
      </c>
      <c r="H133">
        <v>115.48</v>
      </c>
      <c r="I133">
        <v>77</v>
      </c>
      <c r="J133">
        <v>12</v>
      </c>
      <c r="K133" t="s">
        <v>814</v>
      </c>
      <c r="L133" s="1">
        <v>45342</v>
      </c>
    </row>
    <row r="134" spans="1:12">
      <c r="A134" t="s">
        <v>452</v>
      </c>
      <c r="B134" t="s">
        <v>453</v>
      </c>
      <c r="C134" t="s">
        <v>815</v>
      </c>
      <c r="D134" t="s">
        <v>63</v>
      </c>
      <c r="E134" t="s">
        <v>31</v>
      </c>
      <c r="F134" t="s">
        <v>37</v>
      </c>
      <c r="G134">
        <v>27.88</v>
      </c>
      <c r="H134">
        <v>57</v>
      </c>
      <c r="I134">
        <v>13</v>
      </c>
      <c r="J134">
        <v>20</v>
      </c>
      <c r="K134" t="s">
        <v>97</v>
      </c>
      <c r="L134" s="1">
        <v>45570</v>
      </c>
    </row>
    <row r="135" spans="1:12">
      <c r="A135" t="s">
        <v>455</v>
      </c>
      <c r="B135" t="s">
        <v>456</v>
      </c>
      <c r="C135" t="s">
        <v>457</v>
      </c>
      <c r="D135" t="s">
        <v>198</v>
      </c>
      <c r="E135" t="s">
        <v>48</v>
      </c>
      <c r="F135" t="s">
        <v>101</v>
      </c>
      <c r="G135">
        <v>58.73</v>
      </c>
      <c r="H135">
        <v>117.65</v>
      </c>
      <c r="I135">
        <v>186</v>
      </c>
      <c r="J135">
        <v>5</v>
      </c>
      <c r="K135" t="s">
        <v>50</v>
      </c>
      <c r="L135" s="1">
        <v>46074</v>
      </c>
    </row>
    <row r="136" spans="1:12">
      <c r="A136" t="s">
        <v>458</v>
      </c>
      <c r="B136" t="s">
        <v>459</v>
      </c>
      <c r="C136" t="s">
        <v>460</v>
      </c>
      <c r="D136" t="s">
        <v>73</v>
      </c>
      <c r="E136" t="s">
        <v>146</v>
      </c>
      <c r="F136" t="s">
        <v>19</v>
      </c>
      <c r="G136">
        <v>26.93</v>
      </c>
      <c r="H136">
        <v>45.62</v>
      </c>
      <c r="I136">
        <v>236</v>
      </c>
      <c r="J136">
        <v>5</v>
      </c>
      <c r="K136" t="s">
        <v>97</v>
      </c>
      <c r="L136" s="1">
        <v>45507</v>
      </c>
    </row>
    <row r="137" spans="1:12">
      <c r="A137" t="s">
        <v>461</v>
      </c>
      <c r="B137" t="s">
        <v>462</v>
      </c>
      <c r="C137" t="s">
        <v>463</v>
      </c>
      <c r="D137" t="s">
        <v>850</v>
      </c>
      <c r="E137" t="s">
        <v>851</v>
      </c>
      <c r="F137" t="s">
        <v>74</v>
      </c>
      <c r="G137">
        <v>75.78</v>
      </c>
      <c r="H137">
        <v>138.74</v>
      </c>
      <c r="I137">
        <v>99</v>
      </c>
      <c r="J137">
        <v>40</v>
      </c>
      <c r="K137" t="s">
        <v>44</v>
      </c>
      <c r="L137" s="1">
        <v>45579</v>
      </c>
    </row>
    <row r="138" spans="1:12">
      <c r="A138" t="s">
        <v>464</v>
      </c>
      <c r="B138" t="s">
        <v>465</v>
      </c>
      <c r="C138" t="s">
        <v>816</v>
      </c>
      <c r="D138" t="s">
        <v>17</v>
      </c>
      <c r="E138" t="s">
        <v>121</v>
      </c>
      <c r="F138" t="s">
        <v>19</v>
      </c>
      <c r="G138">
        <v>73.03</v>
      </c>
      <c r="H138">
        <v>130.94999999999999</v>
      </c>
      <c r="I138">
        <v>55</v>
      </c>
      <c r="J138">
        <v>12</v>
      </c>
      <c r="K138" t="s">
        <v>38</v>
      </c>
      <c r="L138" s="1">
        <v>45484</v>
      </c>
    </row>
    <row r="139" spans="1:12">
      <c r="A139" t="s">
        <v>467</v>
      </c>
      <c r="B139" t="s">
        <v>468</v>
      </c>
      <c r="C139" t="s">
        <v>469</v>
      </c>
      <c r="D139" t="s">
        <v>795</v>
      </c>
      <c r="E139" t="s">
        <v>817</v>
      </c>
      <c r="F139" t="s">
        <v>25</v>
      </c>
      <c r="G139">
        <v>12.81</v>
      </c>
      <c r="H139">
        <v>24.95</v>
      </c>
      <c r="I139">
        <v>201</v>
      </c>
      <c r="J139">
        <v>25</v>
      </c>
      <c r="K139" t="s">
        <v>97</v>
      </c>
      <c r="L139" s="1">
        <v>45711</v>
      </c>
    </row>
    <row r="140" spans="1:12">
      <c r="A140" t="s">
        <v>470</v>
      </c>
      <c r="B140" t="s">
        <v>471</v>
      </c>
      <c r="C140" t="s">
        <v>472</v>
      </c>
      <c r="D140" t="s">
        <v>54</v>
      </c>
      <c r="E140" t="s">
        <v>64</v>
      </c>
      <c r="F140" t="s">
        <v>101</v>
      </c>
      <c r="G140">
        <v>5.0199999999999996</v>
      </c>
      <c r="H140">
        <v>7.89</v>
      </c>
      <c r="I140">
        <v>185</v>
      </c>
      <c r="J140">
        <v>10</v>
      </c>
      <c r="K140" t="s">
        <v>44</v>
      </c>
      <c r="L140" s="1">
        <v>45399</v>
      </c>
    </row>
    <row r="141" spans="1:12">
      <c r="A141" t="s">
        <v>473</v>
      </c>
      <c r="B141" t="s">
        <v>474</v>
      </c>
      <c r="C141" t="s">
        <v>818</v>
      </c>
      <c r="D141" t="s">
        <v>54</v>
      </c>
      <c r="E141" t="s">
        <v>24</v>
      </c>
      <c r="F141" t="s">
        <v>159</v>
      </c>
      <c r="G141">
        <v>55.58</v>
      </c>
      <c r="H141">
        <v>85.37</v>
      </c>
      <c r="I141">
        <v>138</v>
      </c>
      <c r="J141">
        <v>15</v>
      </c>
      <c r="K141" t="s">
        <v>20</v>
      </c>
      <c r="L141" s="1">
        <v>45774</v>
      </c>
    </row>
    <row r="142" spans="1:12">
      <c r="A142" t="s">
        <v>476</v>
      </c>
      <c r="B142" t="s">
        <v>477</v>
      </c>
      <c r="C142" t="s">
        <v>819</v>
      </c>
      <c r="D142" t="s">
        <v>753</v>
      </c>
      <c r="E142" t="s">
        <v>789</v>
      </c>
      <c r="F142" t="s">
        <v>25</v>
      </c>
      <c r="G142">
        <v>48.25</v>
      </c>
      <c r="H142">
        <v>86.71</v>
      </c>
      <c r="I142">
        <v>8</v>
      </c>
      <c r="J142">
        <v>10</v>
      </c>
      <c r="K142" t="s">
        <v>97</v>
      </c>
      <c r="L142" s="1">
        <v>45957</v>
      </c>
    </row>
    <row r="143" spans="1:12">
      <c r="A143" t="s">
        <v>479</v>
      </c>
      <c r="B143" t="s">
        <v>820</v>
      </c>
      <c r="C143" t="s">
        <v>481</v>
      </c>
      <c r="D143" t="s">
        <v>850</v>
      </c>
      <c r="E143" t="s">
        <v>24</v>
      </c>
      <c r="F143" t="s">
        <v>59</v>
      </c>
      <c r="G143" s="2">
        <v>79.45</v>
      </c>
      <c r="H143" t="s">
        <v>821</v>
      </c>
      <c r="I143">
        <v>179</v>
      </c>
      <c r="J143">
        <v>5</v>
      </c>
      <c r="K143" t="s">
        <v>26</v>
      </c>
      <c r="L143" s="1">
        <v>45612</v>
      </c>
    </row>
    <row r="144" spans="1:12">
      <c r="A144" t="s">
        <v>482</v>
      </c>
      <c r="B144" t="s">
        <v>483</v>
      </c>
      <c r="C144" t="s">
        <v>484</v>
      </c>
      <c r="D144" t="s">
        <v>17</v>
      </c>
      <c r="E144" t="s">
        <v>851</v>
      </c>
      <c r="F144" t="s">
        <v>25</v>
      </c>
      <c r="G144">
        <v>46.23</v>
      </c>
      <c r="H144">
        <v>69.39</v>
      </c>
      <c r="I144">
        <v>128</v>
      </c>
      <c r="J144">
        <v>10</v>
      </c>
      <c r="K144" t="s">
        <v>20</v>
      </c>
      <c r="L144" s="1">
        <v>45724</v>
      </c>
    </row>
    <row r="145" spans="1:12">
      <c r="A145" t="s">
        <v>485</v>
      </c>
      <c r="B145" t="s">
        <v>486</v>
      </c>
      <c r="C145" t="s">
        <v>487</v>
      </c>
      <c r="D145" t="s">
        <v>17</v>
      </c>
      <c r="E145" t="s">
        <v>146</v>
      </c>
      <c r="F145" t="s">
        <v>59</v>
      </c>
      <c r="G145">
        <v>35.54</v>
      </c>
      <c r="H145">
        <v>72.86</v>
      </c>
      <c r="I145">
        <v>116</v>
      </c>
      <c r="J145">
        <v>25</v>
      </c>
      <c r="K145" t="s">
        <v>50</v>
      </c>
      <c r="L145" s="1">
        <v>45562</v>
      </c>
    </row>
    <row r="146" spans="1:12">
      <c r="A146" t="s">
        <v>488</v>
      </c>
      <c r="B146" t="s">
        <v>489</v>
      </c>
      <c r="C146" t="s">
        <v>490</v>
      </c>
      <c r="D146" t="s">
        <v>191</v>
      </c>
      <c r="E146" t="s">
        <v>69</v>
      </c>
      <c r="F146" t="s">
        <v>101</v>
      </c>
      <c r="G146">
        <v>59.5</v>
      </c>
      <c r="H146">
        <v>93.73</v>
      </c>
      <c r="I146">
        <v>237</v>
      </c>
      <c r="J146">
        <v>40</v>
      </c>
      <c r="K146" t="s">
        <v>26</v>
      </c>
      <c r="L146" s="1">
        <v>46102</v>
      </c>
    </row>
    <row r="147" spans="1:12">
      <c r="A147" t="s">
        <v>491</v>
      </c>
      <c r="B147" t="s">
        <v>492</v>
      </c>
      <c r="C147" t="s">
        <v>493</v>
      </c>
      <c r="D147" t="s">
        <v>17</v>
      </c>
      <c r="E147" t="s">
        <v>849</v>
      </c>
      <c r="F147" t="s">
        <v>79</v>
      </c>
      <c r="G147" s="2">
        <v>34.28</v>
      </c>
      <c r="H147">
        <v>72.22</v>
      </c>
      <c r="I147">
        <v>146</v>
      </c>
      <c r="J147">
        <v>12</v>
      </c>
      <c r="K147" t="s">
        <v>44</v>
      </c>
      <c r="L147" s="1">
        <v>45816</v>
      </c>
    </row>
    <row r="148" spans="1:12">
      <c r="A148" t="s">
        <v>494</v>
      </c>
      <c r="B148" t="s">
        <v>495</v>
      </c>
      <c r="C148" t="s">
        <v>496</v>
      </c>
      <c r="D148" t="s">
        <v>42</v>
      </c>
      <c r="E148" t="s">
        <v>24</v>
      </c>
      <c r="F148" t="s">
        <v>74</v>
      </c>
      <c r="G148">
        <v>76.56</v>
      </c>
      <c r="H148">
        <v>156.25</v>
      </c>
      <c r="I148">
        <v>250</v>
      </c>
      <c r="J148">
        <v>20</v>
      </c>
      <c r="K148" t="s">
        <v>44</v>
      </c>
      <c r="L148" s="1">
        <v>45814</v>
      </c>
    </row>
    <row r="149" spans="1:12">
      <c r="A149" t="s">
        <v>497</v>
      </c>
      <c r="B149" t="s">
        <v>822</v>
      </c>
      <c r="C149" t="s">
        <v>499</v>
      </c>
      <c r="D149" t="s">
        <v>17</v>
      </c>
      <c r="F149" t="s">
        <v>101</v>
      </c>
      <c r="G149">
        <v>52.97</v>
      </c>
      <c r="H149">
        <v>94.31</v>
      </c>
      <c r="I149">
        <v>26</v>
      </c>
      <c r="J149">
        <v>25</v>
      </c>
      <c r="K149" t="s">
        <v>26</v>
      </c>
      <c r="L149" s="1">
        <v>45989</v>
      </c>
    </row>
    <row r="150" spans="1:12">
      <c r="A150" t="s">
        <v>500</v>
      </c>
      <c r="B150" t="s">
        <v>501</v>
      </c>
      <c r="C150" t="s">
        <v>502</v>
      </c>
      <c r="D150" t="s">
        <v>42</v>
      </c>
      <c r="E150" t="s">
        <v>735</v>
      </c>
      <c r="F150" t="s">
        <v>49</v>
      </c>
      <c r="G150">
        <v>6.18</v>
      </c>
      <c r="H150">
        <v>11.25</v>
      </c>
      <c r="I150">
        <v>112</v>
      </c>
      <c r="J150">
        <v>15</v>
      </c>
      <c r="K150" t="s">
        <v>44</v>
      </c>
      <c r="L150" s="1">
        <v>45708</v>
      </c>
    </row>
    <row r="151" spans="1:12">
      <c r="A151" t="s">
        <v>503</v>
      </c>
      <c r="B151" t="s">
        <v>504</v>
      </c>
      <c r="C151" t="s">
        <v>505</v>
      </c>
      <c r="D151" t="s">
        <v>78</v>
      </c>
      <c r="E151" t="s">
        <v>69</v>
      </c>
      <c r="F151" t="s">
        <v>769</v>
      </c>
      <c r="G151">
        <v>40.67</v>
      </c>
      <c r="H151">
        <v>55.36</v>
      </c>
      <c r="I151">
        <v>205</v>
      </c>
      <c r="J151">
        <v>20</v>
      </c>
      <c r="K151" t="s">
        <v>44</v>
      </c>
      <c r="L151" s="1">
        <v>45813</v>
      </c>
    </row>
    <row r="152" spans="1:12">
      <c r="A152" t="s">
        <v>506</v>
      </c>
      <c r="B152" t="s">
        <v>507</v>
      </c>
      <c r="C152" t="s">
        <v>508</v>
      </c>
      <c r="D152" t="s">
        <v>87</v>
      </c>
      <c r="E152" t="s">
        <v>823</v>
      </c>
      <c r="F152" t="s">
        <v>101</v>
      </c>
      <c r="G152">
        <v>28.15</v>
      </c>
      <c r="H152">
        <v>54.7</v>
      </c>
      <c r="I152">
        <v>65</v>
      </c>
      <c r="J152">
        <v>30</v>
      </c>
      <c r="K152" t="s">
        <v>44</v>
      </c>
      <c r="L152" s="1">
        <v>46088</v>
      </c>
    </row>
    <row r="153" spans="1:12">
      <c r="A153" t="s">
        <v>509</v>
      </c>
      <c r="B153" t="s">
        <v>510</v>
      </c>
      <c r="C153" t="s">
        <v>511</v>
      </c>
      <c r="D153" t="s">
        <v>30</v>
      </c>
      <c r="F153" t="s">
        <v>101</v>
      </c>
      <c r="G153">
        <v>36.07</v>
      </c>
      <c r="H153">
        <v>60.68</v>
      </c>
      <c r="I153">
        <v>29</v>
      </c>
      <c r="J153">
        <v>40</v>
      </c>
      <c r="K153" t="s">
        <v>771</v>
      </c>
      <c r="L153" s="1">
        <v>45650</v>
      </c>
    </row>
    <row r="154" spans="1:12">
      <c r="A154" t="s">
        <v>512</v>
      </c>
      <c r="B154" t="s">
        <v>513</v>
      </c>
      <c r="C154" t="s">
        <v>514</v>
      </c>
      <c r="D154" t="s">
        <v>117</v>
      </c>
      <c r="E154" t="s">
        <v>55</v>
      </c>
      <c r="F154" t="s">
        <v>32</v>
      </c>
      <c r="G154">
        <v>54.03</v>
      </c>
      <c r="H154">
        <v>125.58</v>
      </c>
      <c r="I154">
        <v>209</v>
      </c>
      <c r="J154">
        <v>25</v>
      </c>
      <c r="K154" t="s">
        <v>44</v>
      </c>
      <c r="L154" s="1">
        <v>45800</v>
      </c>
    </row>
    <row r="155" spans="1:12">
      <c r="A155" t="s">
        <v>515</v>
      </c>
      <c r="B155" t="s">
        <v>516</v>
      </c>
      <c r="C155" t="s">
        <v>517</v>
      </c>
      <c r="D155" t="s">
        <v>17</v>
      </c>
      <c r="E155" t="s">
        <v>83</v>
      </c>
      <c r="F155" t="s">
        <v>49</v>
      </c>
      <c r="G155">
        <v>67.27</v>
      </c>
      <c r="H155">
        <v>120.98</v>
      </c>
      <c r="I155">
        <v>11</v>
      </c>
      <c r="J155">
        <v>5</v>
      </c>
      <c r="K155" t="s">
        <v>97</v>
      </c>
      <c r="L155" s="1">
        <v>45652</v>
      </c>
    </row>
    <row r="156" spans="1:12">
      <c r="A156" t="s">
        <v>518</v>
      </c>
      <c r="B156" t="s">
        <v>519</v>
      </c>
      <c r="C156" t="s">
        <v>520</v>
      </c>
      <c r="D156" t="s">
        <v>17</v>
      </c>
      <c r="E156" t="s">
        <v>48</v>
      </c>
      <c r="F156" t="s">
        <v>79</v>
      </c>
      <c r="G156">
        <v>68.72</v>
      </c>
      <c r="H156">
        <v>165.28</v>
      </c>
      <c r="I156">
        <v>74</v>
      </c>
      <c r="J156">
        <v>20</v>
      </c>
      <c r="K156" t="s">
        <v>44</v>
      </c>
      <c r="L156" s="1">
        <v>45931</v>
      </c>
    </row>
    <row r="157" spans="1:12">
      <c r="A157" t="s">
        <v>521</v>
      </c>
      <c r="B157" t="s">
        <v>522</v>
      </c>
      <c r="C157" t="s">
        <v>523</v>
      </c>
      <c r="D157" t="s">
        <v>30</v>
      </c>
      <c r="E157" t="s">
        <v>83</v>
      </c>
      <c r="F157" t="s">
        <v>74</v>
      </c>
      <c r="G157" s="2">
        <v>69.349999999999994</v>
      </c>
      <c r="H157">
        <v>114.72</v>
      </c>
      <c r="I157">
        <v>136</v>
      </c>
      <c r="J157">
        <v>15</v>
      </c>
      <c r="K157" t="s">
        <v>44</v>
      </c>
      <c r="L157" s="1">
        <v>45420</v>
      </c>
    </row>
    <row r="158" spans="1:12">
      <c r="A158" t="s">
        <v>524</v>
      </c>
      <c r="B158" t="s">
        <v>525</v>
      </c>
      <c r="C158" t="s">
        <v>526</v>
      </c>
      <c r="D158" t="s">
        <v>42</v>
      </c>
      <c r="E158" t="s">
        <v>55</v>
      </c>
      <c r="F158" t="s">
        <v>32</v>
      </c>
      <c r="G158">
        <v>19.399999999999999</v>
      </c>
      <c r="H158">
        <v>35.409999999999997</v>
      </c>
      <c r="J158">
        <v>40</v>
      </c>
      <c r="K158" t="s">
        <v>97</v>
      </c>
      <c r="L158" s="1">
        <v>46208</v>
      </c>
    </row>
    <row r="159" spans="1:12">
      <c r="A159" t="s">
        <v>527</v>
      </c>
      <c r="B159" t="s">
        <v>824</v>
      </c>
      <c r="C159" t="s">
        <v>529</v>
      </c>
      <c r="D159" t="s">
        <v>30</v>
      </c>
      <c r="E159" t="s">
        <v>24</v>
      </c>
      <c r="F159" t="s">
        <v>32</v>
      </c>
      <c r="G159" s="2">
        <v>20.07</v>
      </c>
      <c r="H159">
        <v>49.05</v>
      </c>
      <c r="I159">
        <v>148</v>
      </c>
      <c r="J159">
        <v>20</v>
      </c>
      <c r="K159" t="s">
        <v>50</v>
      </c>
      <c r="L159" s="1">
        <v>46197</v>
      </c>
    </row>
    <row r="160" spans="1:12">
      <c r="A160" t="s">
        <v>530</v>
      </c>
      <c r="B160" t="s">
        <v>531</v>
      </c>
      <c r="C160" t="s">
        <v>532</v>
      </c>
      <c r="D160" t="s">
        <v>42</v>
      </c>
      <c r="E160" t="s">
        <v>825</v>
      </c>
      <c r="F160" t="s">
        <v>79</v>
      </c>
      <c r="G160">
        <v>7.43</v>
      </c>
      <c r="H160">
        <v>17.559999999999999</v>
      </c>
      <c r="I160">
        <v>18</v>
      </c>
      <c r="J160">
        <v>15</v>
      </c>
      <c r="K160" t="s">
        <v>20</v>
      </c>
      <c r="L160" s="1">
        <v>45735</v>
      </c>
    </row>
    <row r="161" spans="1:12">
      <c r="A161" t="s">
        <v>533</v>
      </c>
      <c r="B161" t="s">
        <v>534</v>
      </c>
      <c r="C161" t="s">
        <v>535</v>
      </c>
      <c r="D161" t="s">
        <v>42</v>
      </c>
      <c r="E161" t="s">
        <v>31</v>
      </c>
      <c r="F161" t="s">
        <v>19</v>
      </c>
      <c r="G161">
        <v>51.07</v>
      </c>
      <c r="H161">
        <v>123.84</v>
      </c>
      <c r="I161">
        <v>85</v>
      </c>
      <c r="J161">
        <v>40</v>
      </c>
      <c r="K161" t="s">
        <v>38</v>
      </c>
      <c r="L161" s="1">
        <v>45475</v>
      </c>
    </row>
    <row r="162" spans="1:12">
      <c r="A162" t="s">
        <v>536</v>
      </c>
      <c r="B162" t="s">
        <v>537</v>
      </c>
      <c r="C162" t="s">
        <v>538</v>
      </c>
      <c r="D162" t="s">
        <v>17</v>
      </c>
      <c r="E162" t="s">
        <v>69</v>
      </c>
      <c r="F162" t="s">
        <v>79</v>
      </c>
      <c r="G162">
        <v>42.68</v>
      </c>
      <c r="H162" t="s">
        <v>826</v>
      </c>
      <c r="I162">
        <v>14</v>
      </c>
      <c r="J162">
        <v>12</v>
      </c>
      <c r="K162" t="s">
        <v>38</v>
      </c>
      <c r="L162" s="1">
        <v>46057</v>
      </c>
    </row>
    <row r="163" spans="1:12">
      <c r="A163" t="s">
        <v>539</v>
      </c>
      <c r="B163" t="s">
        <v>540</v>
      </c>
      <c r="C163" t="s">
        <v>541</v>
      </c>
      <c r="D163" t="s">
        <v>763</v>
      </c>
      <c r="E163" t="s">
        <v>48</v>
      </c>
      <c r="F163" t="s">
        <v>59</v>
      </c>
      <c r="G163">
        <v>81.45</v>
      </c>
      <c r="H163">
        <v>154.38</v>
      </c>
      <c r="I163">
        <v>256</v>
      </c>
      <c r="J163">
        <v>15</v>
      </c>
      <c r="K163" t="s">
        <v>44</v>
      </c>
      <c r="L163" s="1">
        <v>46253</v>
      </c>
    </row>
    <row r="164" spans="1:12">
      <c r="A164" t="s">
        <v>542</v>
      </c>
      <c r="B164" t="s">
        <v>543</v>
      </c>
      <c r="C164" t="s">
        <v>544</v>
      </c>
      <c r="D164" t="s">
        <v>42</v>
      </c>
      <c r="E164" t="s">
        <v>184</v>
      </c>
      <c r="F164" t="s">
        <v>101</v>
      </c>
      <c r="G164">
        <v>73.400000000000006</v>
      </c>
      <c r="H164">
        <v>101.88</v>
      </c>
      <c r="I164">
        <v>218</v>
      </c>
      <c r="J164">
        <v>20</v>
      </c>
      <c r="K164" t="s">
        <v>20</v>
      </c>
      <c r="L164" s="1">
        <v>45936</v>
      </c>
    </row>
    <row r="165" spans="1:12">
      <c r="A165" t="s">
        <v>545</v>
      </c>
      <c r="B165" t="s">
        <v>546</v>
      </c>
      <c r="C165" t="s">
        <v>547</v>
      </c>
      <c r="D165" t="s">
        <v>30</v>
      </c>
      <c r="E165" t="s">
        <v>851</v>
      </c>
      <c r="F165" t="s">
        <v>101</v>
      </c>
      <c r="G165">
        <v>70.77</v>
      </c>
      <c r="H165">
        <v>140.12</v>
      </c>
      <c r="I165">
        <v>184</v>
      </c>
      <c r="J165">
        <v>20</v>
      </c>
      <c r="K165" t="s">
        <v>20</v>
      </c>
      <c r="L165" s="1">
        <v>45966</v>
      </c>
    </row>
    <row r="166" spans="1:12">
      <c r="A166" t="s">
        <v>548</v>
      </c>
      <c r="B166" t="s">
        <v>549</v>
      </c>
      <c r="C166" t="s">
        <v>550</v>
      </c>
      <c r="D166" t="s">
        <v>42</v>
      </c>
      <c r="E166" t="s">
        <v>31</v>
      </c>
      <c r="F166" t="s">
        <v>19</v>
      </c>
      <c r="G166">
        <v>25.74</v>
      </c>
      <c r="H166">
        <v>38.06</v>
      </c>
      <c r="I166">
        <v>0</v>
      </c>
      <c r="J166">
        <v>10</v>
      </c>
      <c r="K166" t="s">
        <v>20</v>
      </c>
      <c r="L166" s="1">
        <v>45716</v>
      </c>
    </row>
    <row r="167" spans="1:12">
      <c r="A167" t="s">
        <v>551</v>
      </c>
      <c r="B167" t="s">
        <v>552</v>
      </c>
      <c r="C167" t="s">
        <v>553</v>
      </c>
      <c r="D167" t="s">
        <v>42</v>
      </c>
      <c r="E167" t="s">
        <v>83</v>
      </c>
      <c r="F167" t="s">
        <v>59</v>
      </c>
      <c r="G167">
        <v>71.180000000000007</v>
      </c>
      <c r="H167">
        <v>166.26</v>
      </c>
      <c r="I167">
        <v>36</v>
      </c>
      <c r="J167">
        <v>25</v>
      </c>
      <c r="K167" t="s">
        <v>20</v>
      </c>
      <c r="L167" s="1">
        <v>46154</v>
      </c>
    </row>
    <row r="168" spans="1:12">
      <c r="A168" t="s">
        <v>554</v>
      </c>
      <c r="B168" t="s">
        <v>555</v>
      </c>
      <c r="C168" t="s">
        <v>556</v>
      </c>
      <c r="D168" t="s">
        <v>17</v>
      </c>
      <c r="F168" t="s">
        <v>159</v>
      </c>
      <c r="G168" s="2">
        <v>80.489999999999995</v>
      </c>
      <c r="H168">
        <v>191.78</v>
      </c>
      <c r="I168">
        <v>158</v>
      </c>
      <c r="J168">
        <v>30</v>
      </c>
      <c r="K168" t="s">
        <v>20</v>
      </c>
      <c r="L168" s="1">
        <v>45424</v>
      </c>
    </row>
    <row r="169" spans="1:12">
      <c r="A169" t="s">
        <v>557</v>
      </c>
      <c r="B169" t="s">
        <v>558</v>
      </c>
      <c r="C169" t="s">
        <v>559</v>
      </c>
      <c r="D169" t="s">
        <v>54</v>
      </c>
      <c r="E169" t="s">
        <v>735</v>
      </c>
      <c r="F169" t="s">
        <v>25</v>
      </c>
      <c r="G169">
        <v>54.78</v>
      </c>
      <c r="H169">
        <v>119.59</v>
      </c>
      <c r="I169">
        <v>25</v>
      </c>
      <c r="J169">
        <v>12</v>
      </c>
      <c r="K169" t="s">
        <v>38</v>
      </c>
      <c r="L169" s="1">
        <v>46011</v>
      </c>
    </row>
    <row r="170" spans="1:12">
      <c r="A170" t="s">
        <v>560</v>
      </c>
      <c r="B170" t="s">
        <v>561</v>
      </c>
      <c r="C170" t="s">
        <v>562</v>
      </c>
      <c r="D170" t="s">
        <v>17</v>
      </c>
      <c r="E170" t="s">
        <v>805</v>
      </c>
      <c r="F170" t="s">
        <v>32</v>
      </c>
      <c r="G170">
        <v>71.900000000000006</v>
      </c>
      <c r="H170">
        <v>140.57</v>
      </c>
      <c r="I170">
        <v>258</v>
      </c>
      <c r="J170">
        <v>5</v>
      </c>
      <c r="K170" t="s">
        <v>784</v>
      </c>
      <c r="L170" s="1">
        <v>45872</v>
      </c>
    </row>
    <row r="171" spans="1:12">
      <c r="A171" t="s">
        <v>563</v>
      </c>
      <c r="B171" t="s">
        <v>564</v>
      </c>
      <c r="C171" t="s">
        <v>565</v>
      </c>
      <c r="D171" t="s">
        <v>198</v>
      </c>
      <c r="E171" t="s">
        <v>800</v>
      </c>
      <c r="F171" t="s">
        <v>59</v>
      </c>
      <c r="G171">
        <v>54.05</v>
      </c>
      <c r="H171">
        <v>85.78</v>
      </c>
      <c r="I171">
        <v>195</v>
      </c>
      <c r="J171">
        <v>40</v>
      </c>
      <c r="K171" t="s">
        <v>44</v>
      </c>
      <c r="L171" s="1">
        <v>45945</v>
      </c>
    </row>
    <row r="172" spans="1:12">
      <c r="A172" t="s">
        <v>566</v>
      </c>
      <c r="B172" t="s">
        <v>567</v>
      </c>
      <c r="C172" t="s">
        <v>568</v>
      </c>
      <c r="D172" t="s">
        <v>827</v>
      </c>
      <c r="E172" t="s">
        <v>64</v>
      </c>
      <c r="F172" t="s">
        <v>32</v>
      </c>
      <c r="G172">
        <v>24.19</v>
      </c>
      <c r="H172">
        <v>51.78</v>
      </c>
      <c r="I172">
        <v>5</v>
      </c>
      <c r="J172">
        <v>25</v>
      </c>
      <c r="K172" t="s">
        <v>38</v>
      </c>
      <c r="L172" s="1">
        <v>45838</v>
      </c>
    </row>
    <row r="173" spans="1:12">
      <c r="A173" t="s">
        <v>569</v>
      </c>
      <c r="B173" t="s">
        <v>570</v>
      </c>
      <c r="C173" t="s">
        <v>828</v>
      </c>
      <c r="D173" t="s">
        <v>30</v>
      </c>
      <c r="E173" t="s">
        <v>849</v>
      </c>
      <c r="F173" t="s">
        <v>49</v>
      </c>
      <c r="G173">
        <v>77.91</v>
      </c>
      <c r="H173">
        <v>169.39</v>
      </c>
      <c r="I173">
        <v>70</v>
      </c>
      <c r="J173">
        <v>25</v>
      </c>
      <c r="K173" t="s">
        <v>780</v>
      </c>
      <c r="L173" s="1">
        <v>45663</v>
      </c>
    </row>
    <row r="174" spans="1:12">
      <c r="A174" t="s">
        <v>572</v>
      </c>
      <c r="B174" t="s">
        <v>829</v>
      </c>
      <c r="C174" t="s">
        <v>574</v>
      </c>
      <c r="D174" t="s">
        <v>42</v>
      </c>
      <c r="E174" t="s">
        <v>24</v>
      </c>
      <c r="F174" t="s">
        <v>159</v>
      </c>
      <c r="G174">
        <v>23.87</v>
      </c>
      <c r="H174">
        <v>49.16</v>
      </c>
      <c r="I174">
        <v>204</v>
      </c>
      <c r="J174">
        <v>10</v>
      </c>
      <c r="K174" t="s">
        <v>44</v>
      </c>
      <c r="L174" s="1">
        <v>45735</v>
      </c>
    </row>
    <row r="175" spans="1:12">
      <c r="A175" t="s">
        <v>575</v>
      </c>
      <c r="B175" t="s">
        <v>576</v>
      </c>
      <c r="C175" t="s">
        <v>577</v>
      </c>
      <c r="D175" t="s">
        <v>17</v>
      </c>
      <c r="E175" t="s">
        <v>55</v>
      </c>
      <c r="F175" t="s">
        <v>19</v>
      </c>
      <c r="G175">
        <v>55.9</v>
      </c>
      <c r="H175">
        <v>115.14</v>
      </c>
      <c r="I175">
        <v>61</v>
      </c>
      <c r="J175">
        <v>20</v>
      </c>
      <c r="K175" t="s">
        <v>20</v>
      </c>
      <c r="L175" s="1">
        <v>45720</v>
      </c>
    </row>
    <row r="176" spans="1:12">
      <c r="A176" t="s">
        <v>578</v>
      </c>
      <c r="B176" t="s">
        <v>579</v>
      </c>
      <c r="C176" t="s">
        <v>830</v>
      </c>
      <c r="D176" t="s">
        <v>831</v>
      </c>
      <c r="E176" t="s">
        <v>24</v>
      </c>
      <c r="F176" t="s">
        <v>806</v>
      </c>
      <c r="G176">
        <v>42.93</v>
      </c>
      <c r="H176">
        <v>79.69</v>
      </c>
      <c r="I176">
        <v>227</v>
      </c>
      <c r="J176">
        <v>30</v>
      </c>
      <c r="K176" t="s">
        <v>38</v>
      </c>
      <c r="L176" s="1">
        <v>45690</v>
      </c>
    </row>
    <row r="177" spans="1:12">
      <c r="A177" t="s">
        <v>581</v>
      </c>
      <c r="B177" t="s">
        <v>832</v>
      </c>
      <c r="C177" t="s">
        <v>583</v>
      </c>
      <c r="D177" t="s">
        <v>42</v>
      </c>
      <c r="E177" t="s">
        <v>121</v>
      </c>
      <c r="F177" t="s">
        <v>59</v>
      </c>
      <c r="G177">
        <v>27.73</v>
      </c>
      <c r="H177">
        <v>61.7</v>
      </c>
      <c r="J177">
        <v>10</v>
      </c>
      <c r="K177" t="s">
        <v>97</v>
      </c>
      <c r="L177" s="1">
        <v>46174</v>
      </c>
    </row>
    <row r="178" spans="1:12">
      <c r="A178" t="s">
        <v>584</v>
      </c>
      <c r="B178" t="s">
        <v>585</v>
      </c>
      <c r="C178" t="s">
        <v>586</v>
      </c>
      <c r="D178" t="s">
        <v>198</v>
      </c>
      <c r="E178" t="s">
        <v>83</v>
      </c>
      <c r="F178" t="s">
        <v>25</v>
      </c>
      <c r="G178">
        <v>37.24</v>
      </c>
      <c r="H178">
        <v>59.6</v>
      </c>
      <c r="I178">
        <v>138</v>
      </c>
      <c r="J178">
        <v>15</v>
      </c>
      <c r="K178" t="s">
        <v>50</v>
      </c>
      <c r="L178" s="1">
        <v>46031</v>
      </c>
    </row>
    <row r="179" spans="1:12">
      <c r="A179" t="s">
        <v>587</v>
      </c>
      <c r="B179" t="s">
        <v>588</v>
      </c>
      <c r="C179" t="s">
        <v>589</v>
      </c>
      <c r="D179" t="s">
        <v>17</v>
      </c>
      <c r="E179" t="s">
        <v>146</v>
      </c>
      <c r="F179" t="s">
        <v>25</v>
      </c>
      <c r="G179">
        <v>31.17</v>
      </c>
      <c r="H179">
        <v>57.11</v>
      </c>
      <c r="I179">
        <v>57</v>
      </c>
      <c r="J179">
        <v>40</v>
      </c>
      <c r="K179" t="s">
        <v>50</v>
      </c>
      <c r="L179" s="1">
        <v>45589</v>
      </c>
    </row>
    <row r="180" spans="1:12">
      <c r="A180" t="s">
        <v>590</v>
      </c>
      <c r="B180" t="s">
        <v>591</v>
      </c>
      <c r="C180" t="s">
        <v>833</v>
      </c>
      <c r="D180" t="s">
        <v>42</v>
      </c>
      <c r="E180" t="s">
        <v>834</v>
      </c>
      <c r="F180" t="s">
        <v>25</v>
      </c>
      <c r="G180">
        <v>84.46</v>
      </c>
      <c r="H180">
        <v>197.31</v>
      </c>
      <c r="I180">
        <v>6</v>
      </c>
      <c r="J180">
        <v>12</v>
      </c>
      <c r="K180" t="s">
        <v>784</v>
      </c>
      <c r="L180" s="1">
        <v>46316</v>
      </c>
    </row>
    <row r="181" spans="1:12">
      <c r="A181" t="s">
        <v>593</v>
      </c>
      <c r="B181" t="s">
        <v>594</v>
      </c>
      <c r="C181" t="s">
        <v>835</v>
      </c>
      <c r="D181" t="s">
        <v>17</v>
      </c>
      <c r="E181" t="s">
        <v>121</v>
      </c>
      <c r="F181" t="s">
        <v>783</v>
      </c>
      <c r="G181">
        <v>15.21</v>
      </c>
      <c r="H181">
        <v>26.68</v>
      </c>
      <c r="I181">
        <v>238</v>
      </c>
      <c r="J181">
        <v>40</v>
      </c>
      <c r="K181" t="s">
        <v>758</v>
      </c>
      <c r="L181" s="1">
        <v>45422</v>
      </c>
    </row>
    <row r="182" spans="1:12">
      <c r="A182" t="s">
        <v>596</v>
      </c>
      <c r="B182" t="s">
        <v>597</v>
      </c>
      <c r="C182" t="s">
        <v>598</v>
      </c>
      <c r="D182" t="s">
        <v>63</v>
      </c>
      <c r="E182" t="s">
        <v>48</v>
      </c>
      <c r="F182" t="s">
        <v>49</v>
      </c>
      <c r="G182">
        <v>50.8</v>
      </c>
      <c r="H182">
        <v>91.08</v>
      </c>
      <c r="I182">
        <v>61</v>
      </c>
      <c r="J182">
        <v>40</v>
      </c>
      <c r="K182" t="s">
        <v>771</v>
      </c>
      <c r="L182" s="1">
        <v>46230</v>
      </c>
    </row>
    <row r="183" spans="1:12">
      <c r="A183" t="s">
        <v>599</v>
      </c>
      <c r="B183" t="s">
        <v>600</v>
      </c>
      <c r="C183" t="s">
        <v>601</v>
      </c>
      <c r="D183" t="s">
        <v>87</v>
      </c>
      <c r="E183" t="s">
        <v>48</v>
      </c>
      <c r="G183" s="2">
        <v>64.14</v>
      </c>
      <c r="H183">
        <v>111.95</v>
      </c>
      <c r="I183">
        <v>149</v>
      </c>
      <c r="J183">
        <v>15</v>
      </c>
      <c r="K183" t="s">
        <v>20</v>
      </c>
      <c r="L183" s="1">
        <v>46133</v>
      </c>
    </row>
    <row r="184" spans="1:12">
      <c r="A184" t="s">
        <v>602</v>
      </c>
      <c r="B184" t="s">
        <v>603</v>
      </c>
      <c r="C184" t="s">
        <v>604</v>
      </c>
      <c r="D184" t="s">
        <v>73</v>
      </c>
      <c r="E184" t="s">
        <v>31</v>
      </c>
      <c r="F184" t="s">
        <v>59</v>
      </c>
      <c r="G184">
        <v>7.97</v>
      </c>
      <c r="H184">
        <v>18.59</v>
      </c>
      <c r="I184">
        <v>133</v>
      </c>
      <c r="J184">
        <v>20</v>
      </c>
      <c r="K184" t="s">
        <v>44</v>
      </c>
      <c r="L184" s="1">
        <v>46224</v>
      </c>
    </row>
    <row r="185" spans="1:12">
      <c r="A185" t="s">
        <v>605</v>
      </c>
      <c r="B185" t="s">
        <v>606</v>
      </c>
      <c r="C185" t="s">
        <v>607</v>
      </c>
      <c r="D185" t="s">
        <v>198</v>
      </c>
      <c r="E185" t="s">
        <v>803</v>
      </c>
      <c r="F185" t="s">
        <v>74</v>
      </c>
      <c r="G185">
        <v>5.68</v>
      </c>
      <c r="H185">
        <v>8.92</v>
      </c>
      <c r="I185">
        <v>6</v>
      </c>
      <c r="J185">
        <v>10</v>
      </c>
      <c r="K185" t="s">
        <v>97</v>
      </c>
      <c r="L185" s="1">
        <v>45468</v>
      </c>
    </row>
    <row r="186" spans="1:12">
      <c r="A186" t="s">
        <v>608</v>
      </c>
      <c r="B186" t="s">
        <v>609</v>
      </c>
      <c r="C186" t="s">
        <v>610</v>
      </c>
      <c r="D186" t="s">
        <v>289</v>
      </c>
      <c r="E186" t="s">
        <v>83</v>
      </c>
      <c r="F186" t="s">
        <v>49</v>
      </c>
      <c r="G186">
        <v>4.79</v>
      </c>
      <c r="H186">
        <v>9.26</v>
      </c>
      <c r="I186">
        <v>243</v>
      </c>
      <c r="J186">
        <v>40</v>
      </c>
      <c r="K186" t="s">
        <v>780</v>
      </c>
      <c r="L186" s="1">
        <v>46248</v>
      </c>
    </row>
    <row r="187" spans="1:12">
      <c r="A187" t="s">
        <v>611</v>
      </c>
      <c r="B187" t="s">
        <v>836</v>
      </c>
      <c r="C187" t="s">
        <v>613</v>
      </c>
      <c r="D187" t="s">
        <v>87</v>
      </c>
      <c r="E187" t="s">
        <v>735</v>
      </c>
      <c r="F187" t="s">
        <v>49</v>
      </c>
      <c r="G187">
        <v>11.4</v>
      </c>
      <c r="H187">
        <v>27.18</v>
      </c>
      <c r="I187">
        <v>197</v>
      </c>
      <c r="J187">
        <v>12</v>
      </c>
      <c r="K187" t="s">
        <v>97</v>
      </c>
      <c r="L187" s="1">
        <v>45729</v>
      </c>
    </row>
    <row r="188" spans="1:12">
      <c r="A188" t="s">
        <v>614</v>
      </c>
      <c r="B188" t="s">
        <v>615</v>
      </c>
      <c r="C188" t="s">
        <v>616</v>
      </c>
      <c r="D188" t="s">
        <v>42</v>
      </c>
      <c r="E188" t="s">
        <v>24</v>
      </c>
      <c r="F188" t="s">
        <v>743</v>
      </c>
      <c r="G188">
        <v>12.46</v>
      </c>
      <c r="H188">
        <v>26.84</v>
      </c>
      <c r="I188">
        <v>108</v>
      </c>
      <c r="J188">
        <v>25</v>
      </c>
      <c r="K188" t="s">
        <v>26</v>
      </c>
      <c r="L188" s="1">
        <v>45536</v>
      </c>
    </row>
    <row r="189" spans="1:12">
      <c r="A189" t="s">
        <v>617</v>
      </c>
      <c r="B189" t="s">
        <v>618</v>
      </c>
      <c r="C189" t="s">
        <v>619</v>
      </c>
      <c r="D189" t="s">
        <v>30</v>
      </c>
      <c r="E189" t="s">
        <v>48</v>
      </c>
      <c r="F189" t="s">
        <v>25</v>
      </c>
      <c r="G189">
        <v>35.659999999999997</v>
      </c>
      <c r="H189">
        <v>66.989999999999995</v>
      </c>
      <c r="I189">
        <v>156</v>
      </c>
      <c r="J189">
        <v>40</v>
      </c>
      <c r="K189" t="s">
        <v>44</v>
      </c>
      <c r="L189" s="1">
        <v>45446</v>
      </c>
    </row>
    <row r="190" spans="1:12">
      <c r="A190" t="s">
        <v>620</v>
      </c>
      <c r="B190" t="s">
        <v>621</v>
      </c>
      <c r="C190" t="s">
        <v>622</v>
      </c>
      <c r="D190" t="s">
        <v>17</v>
      </c>
      <c r="E190" t="s">
        <v>184</v>
      </c>
      <c r="F190" t="s">
        <v>19</v>
      </c>
      <c r="G190">
        <v>24.59</v>
      </c>
      <c r="H190">
        <v>36.869999999999997</v>
      </c>
      <c r="I190">
        <v>249</v>
      </c>
      <c r="J190">
        <v>40</v>
      </c>
      <c r="K190" t="s">
        <v>97</v>
      </c>
      <c r="L190" s="1">
        <v>45527</v>
      </c>
    </row>
    <row r="191" spans="1:12">
      <c r="A191" t="s">
        <v>623</v>
      </c>
      <c r="B191" t="s">
        <v>624</v>
      </c>
      <c r="C191" t="s">
        <v>625</v>
      </c>
      <c r="D191" t="s">
        <v>42</v>
      </c>
      <c r="E191" t="s">
        <v>64</v>
      </c>
      <c r="F191" t="s">
        <v>49</v>
      </c>
      <c r="G191">
        <v>70.44</v>
      </c>
      <c r="H191">
        <v>139.37</v>
      </c>
      <c r="I191">
        <v>212</v>
      </c>
      <c r="J191">
        <v>20</v>
      </c>
      <c r="K191" t="s">
        <v>97</v>
      </c>
      <c r="L191" s="1">
        <v>45646</v>
      </c>
    </row>
    <row r="192" spans="1:12">
      <c r="A192" t="s">
        <v>626</v>
      </c>
      <c r="B192" t="s">
        <v>627</v>
      </c>
      <c r="C192" t="s">
        <v>628</v>
      </c>
      <c r="D192" t="s">
        <v>30</v>
      </c>
      <c r="E192" t="s">
        <v>24</v>
      </c>
      <c r="F192" t="s">
        <v>32</v>
      </c>
      <c r="G192">
        <v>49.93</v>
      </c>
      <c r="H192">
        <v>115.8</v>
      </c>
      <c r="I192">
        <v>105</v>
      </c>
      <c r="J192">
        <v>10</v>
      </c>
      <c r="K192" t="s">
        <v>26</v>
      </c>
      <c r="L192" s="1">
        <v>45885</v>
      </c>
    </row>
    <row r="193" spans="1:12">
      <c r="A193" t="s">
        <v>629</v>
      </c>
      <c r="B193" t="s">
        <v>630</v>
      </c>
      <c r="C193" t="s">
        <v>631</v>
      </c>
      <c r="D193" t="s">
        <v>30</v>
      </c>
      <c r="E193" t="s">
        <v>64</v>
      </c>
      <c r="F193" t="s">
        <v>837</v>
      </c>
      <c r="G193">
        <v>33.85</v>
      </c>
      <c r="H193">
        <v>52</v>
      </c>
      <c r="I193">
        <v>241</v>
      </c>
      <c r="J193">
        <v>10</v>
      </c>
      <c r="K193" t="s">
        <v>50</v>
      </c>
      <c r="L193" s="1">
        <v>45571</v>
      </c>
    </row>
    <row r="194" spans="1:12">
      <c r="A194" t="s">
        <v>632</v>
      </c>
      <c r="B194" t="s">
        <v>633</v>
      </c>
      <c r="C194" t="s">
        <v>634</v>
      </c>
      <c r="D194" t="s">
        <v>17</v>
      </c>
      <c r="E194" t="s">
        <v>31</v>
      </c>
      <c r="F194" t="s">
        <v>37</v>
      </c>
      <c r="G194">
        <v>34.94</v>
      </c>
      <c r="H194">
        <v>81.36</v>
      </c>
      <c r="I194">
        <v>40</v>
      </c>
      <c r="J194">
        <v>30</v>
      </c>
      <c r="K194" t="s">
        <v>38</v>
      </c>
      <c r="L194" s="1">
        <v>45660</v>
      </c>
    </row>
    <row r="195" spans="1:12">
      <c r="A195" t="s">
        <v>635</v>
      </c>
      <c r="B195" t="s">
        <v>636</v>
      </c>
      <c r="C195" t="s">
        <v>637</v>
      </c>
      <c r="D195" t="s">
        <v>73</v>
      </c>
      <c r="E195" t="s">
        <v>184</v>
      </c>
      <c r="F195" t="s">
        <v>49</v>
      </c>
      <c r="G195">
        <v>16.87</v>
      </c>
      <c r="H195">
        <v>37.799999999999997</v>
      </c>
      <c r="I195">
        <v>24</v>
      </c>
      <c r="J195">
        <v>25</v>
      </c>
      <c r="K195" t="s">
        <v>44</v>
      </c>
      <c r="L195" s="1">
        <v>45591</v>
      </c>
    </row>
    <row r="196" spans="1:12">
      <c r="A196" t="s">
        <v>638</v>
      </c>
      <c r="B196" t="s">
        <v>639</v>
      </c>
      <c r="C196" t="s">
        <v>640</v>
      </c>
      <c r="D196" t="s">
        <v>30</v>
      </c>
      <c r="E196" t="s">
        <v>838</v>
      </c>
      <c r="F196" t="s">
        <v>101</v>
      </c>
      <c r="G196">
        <v>9.93</v>
      </c>
      <c r="H196">
        <v>22.34</v>
      </c>
      <c r="I196">
        <v>113</v>
      </c>
      <c r="J196">
        <v>5</v>
      </c>
      <c r="K196" t="s">
        <v>758</v>
      </c>
      <c r="L196" s="1">
        <v>45328</v>
      </c>
    </row>
    <row r="197" spans="1:12">
      <c r="A197" t="s">
        <v>641</v>
      </c>
      <c r="B197" t="s">
        <v>642</v>
      </c>
      <c r="C197" t="s">
        <v>643</v>
      </c>
      <c r="D197" t="s">
        <v>87</v>
      </c>
      <c r="E197" t="s">
        <v>55</v>
      </c>
      <c r="G197">
        <v>39.42</v>
      </c>
      <c r="H197">
        <v>60.96</v>
      </c>
      <c r="I197">
        <v>86</v>
      </c>
      <c r="J197">
        <v>15</v>
      </c>
      <c r="K197" t="s">
        <v>38</v>
      </c>
      <c r="L197" s="1">
        <v>45839</v>
      </c>
    </row>
    <row r="198" spans="1:12">
      <c r="A198" t="s">
        <v>644</v>
      </c>
      <c r="B198" t="s">
        <v>645</v>
      </c>
      <c r="C198" t="s">
        <v>646</v>
      </c>
      <c r="D198" t="s">
        <v>198</v>
      </c>
      <c r="E198" t="s">
        <v>83</v>
      </c>
      <c r="F198" t="s">
        <v>19</v>
      </c>
      <c r="G198">
        <v>30.6</v>
      </c>
      <c r="H198">
        <v>61.95</v>
      </c>
      <c r="I198">
        <v>17</v>
      </c>
      <c r="J198">
        <v>12</v>
      </c>
      <c r="K198" t="s">
        <v>38</v>
      </c>
      <c r="L198" s="1">
        <v>45742</v>
      </c>
    </row>
    <row r="199" spans="1:12">
      <c r="A199" t="s">
        <v>647</v>
      </c>
      <c r="B199" t="s">
        <v>648</v>
      </c>
      <c r="C199" t="s">
        <v>649</v>
      </c>
      <c r="D199" t="s">
        <v>850</v>
      </c>
      <c r="E199" t="s">
        <v>83</v>
      </c>
      <c r="F199" t="s">
        <v>837</v>
      </c>
      <c r="G199">
        <v>2.4500000000000002</v>
      </c>
      <c r="H199">
        <v>4.45</v>
      </c>
      <c r="I199">
        <v>65</v>
      </c>
      <c r="J199">
        <v>12</v>
      </c>
      <c r="K199" t="s">
        <v>26</v>
      </c>
      <c r="L199" s="1">
        <v>46195</v>
      </c>
    </row>
    <row r="200" spans="1:12">
      <c r="A200" t="s">
        <v>650</v>
      </c>
      <c r="B200" t="s">
        <v>651</v>
      </c>
      <c r="C200" t="s">
        <v>652</v>
      </c>
      <c r="D200" t="s">
        <v>36</v>
      </c>
      <c r="E200" t="s">
        <v>64</v>
      </c>
      <c r="F200" t="s">
        <v>159</v>
      </c>
      <c r="G200">
        <v>25.66</v>
      </c>
      <c r="H200">
        <v>42.23</v>
      </c>
      <c r="I200">
        <v>179</v>
      </c>
      <c r="J200">
        <v>10</v>
      </c>
      <c r="K200" t="s">
        <v>38</v>
      </c>
      <c r="L200" s="1">
        <v>45946</v>
      </c>
    </row>
    <row r="201" spans="1:12">
      <c r="A201" t="s">
        <v>653</v>
      </c>
      <c r="B201" t="s">
        <v>839</v>
      </c>
      <c r="C201" t="s">
        <v>655</v>
      </c>
      <c r="D201" t="s">
        <v>30</v>
      </c>
      <c r="E201" t="s">
        <v>765</v>
      </c>
      <c r="F201" t="s">
        <v>37</v>
      </c>
      <c r="G201">
        <v>80.53</v>
      </c>
      <c r="H201">
        <v>156.56</v>
      </c>
      <c r="I201">
        <v>237</v>
      </c>
      <c r="J201">
        <v>5</v>
      </c>
      <c r="K201" t="s">
        <v>20</v>
      </c>
      <c r="L201" s="1">
        <v>45688</v>
      </c>
    </row>
    <row r="202" spans="1:12">
      <c r="A202" t="s">
        <v>656</v>
      </c>
      <c r="B202" t="s">
        <v>657</v>
      </c>
      <c r="C202" t="s">
        <v>840</v>
      </c>
      <c r="D202" t="s">
        <v>30</v>
      </c>
      <c r="E202" t="s">
        <v>31</v>
      </c>
      <c r="F202" t="s">
        <v>159</v>
      </c>
      <c r="G202">
        <v>56.41</v>
      </c>
      <c r="H202">
        <v>103.93</v>
      </c>
      <c r="I202">
        <v>73</v>
      </c>
      <c r="J202">
        <v>30</v>
      </c>
      <c r="K202" t="s">
        <v>44</v>
      </c>
      <c r="L202" s="1">
        <v>45306</v>
      </c>
    </row>
    <row r="203" spans="1:12">
      <c r="A203" t="s">
        <v>659</v>
      </c>
      <c r="B203" t="s">
        <v>660</v>
      </c>
      <c r="C203" t="s">
        <v>661</v>
      </c>
      <c r="D203" t="s">
        <v>42</v>
      </c>
      <c r="E203" t="s">
        <v>83</v>
      </c>
      <c r="F203" t="s">
        <v>79</v>
      </c>
      <c r="G203">
        <v>68.8</v>
      </c>
      <c r="H203">
        <v>134.85</v>
      </c>
      <c r="I203">
        <v>242</v>
      </c>
      <c r="J203">
        <v>30</v>
      </c>
      <c r="K203" t="s">
        <v>26</v>
      </c>
      <c r="L203" s="1">
        <v>45525</v>
      </c>
    </row>
    <row r="204" spans="1:12">
      <c r="A204" t="s">
        <v>662</v>
      </c>
      <c r="B204" t="s">
        <v>663</v>
      </c>
      <c r="C204" t="s">
        <v>664</v>
      </c>
      <c r="D204" t="s">
        <v>30</v>
      </c>
      <c r="E204" t="s">
        <v>803</v>
      </c>
      <c r="F204" t="s">
        <v>19</v>
      </c>
      <c r="G204">
        <v>41.37</v>
      </c>
      <c r="H204">
        <v>87.3</v>
      </c>
      <c r="I204">
        <v>232</v>
      </c>
      <c r="J204">
        <v>5</v>
      </c>
      <c r="K204" t="s">
        <v>20</v>
      </c>
      <c r="L204" s="1">
        <v>46256</v>
      </c>
    </row>
    <row r="205" spans="1:12">
      <c r="A205" t="s">
        <v>665</v>
      </c>
      <c r="B205" t="s">
        <v>666</v>
      </c>
      <c r="C205" t="s">
        <v>667</v>
      </c>
      <c r="D205" t="s">
        <v>763</v>
      </c>
      <c r="E205" t="s">
        <v>43</v>
      </c>
      <c r="F205" t="s">
        <v>25</v>
      </c>
      <c r="G205">
        <v>15.17</v>
      </c>
      <c r="H205">
        <v>28.27</v>
      </c>
      <c r="I205">
        <v>67</v>
      </c>
      <c r="J205">
        <v>30</v>
      </c>
      <c r="K205" t="s">
        <v>26</v>
      </c>
      <c r="L205" s="1">
        <v>45852</v>
      </c>
    </row>
    <row r="206" spans="1:12">
      <c r="A206" t="s">
        <v>668</v>
      </c>
      <c r="B206" t="s">
        <v>669</v>
      </c>
      <c r="C206" t="s">
        <v>670</v>
      </c>
      <c r="D206" t="s">
        <v>54</v>
      </c>
      <c r="E206" t="s">
        <v>64</v>
      </c>
      <c r="F206" t="s">
        <v>59</v>
      </c>
      <c r="G206">
        <v>66.28</v>
      </c>
      <c r="H206">
        <v>108.92</v>
      </c>
      <c r="I206">
        <v>61</v>
      </c>
      <c r="J206">
        <v>5</v>
      </c>
      <c r="K206" t="s">
        <v>44</v>
      </c>
      <c r="L206" s="1">
        <v>45885</v>
      </c>
    </row>
    <row r="207" spans="1:12">
      <c r="A207" t="s">
        <v>671</v>
      </c>
      <c r="B207" t="s">
        <v>672</v>
      </c>
      <c r="C207" t="s">
        <v>673</v>
      </c>
      <c r="D207" t="s">
        <v>42</v>
      </c>
      <c r="E207" t="s">
        <v>24</v>
      </c>
      <c r="F207" t="s">
        <v>841</v>
      </c>
      <c r="G207" s="2">
        <v>80.91</v>
      </c>
      <c r="H207">
        <v>118.35</v>
      </c>
      <c r="I207">
        <v>164</v>
      </c>
      <c r="J207">
        <v>12</v>
      </c>
      <c r="K207" t="s">
        <v>50</v>
      </c>
      <c r="L207" s="1">
        <v>45447</v>
      </c>
    </row>
    <row r="208" spans="1:12">
      <c r="A208" t="s">
        <v>674</v>
      </c>
      <c r="B208" t="s">
        <v>675</v>
      </c>
      <c r="C208" t="s">
        <v>676</v>
      </c>
      <c r="D208" t="s">
        <v>742</v>
      </c>
      <c r="E208" t="s">
        <v>55</v>
      </c>
      <c r="F208" t="s">
        <v>49</v>
      </c>
      <c r="G208">
        <v>68.89</v>
      </c>
      <c r="H208">
        <v>165.61</v>
      </c>
      <c r="I208">
        <v>10</v>
      </c>
      <c r="J208">
        <v>25</v>
      </c>
      <c r="K208" t="s">
        <v>38</v>
      </c>
      <c r="L208" s="1">
        <v>45471</v>
      </c>
    </row>
    <row r="209" spans="1:12">
      <c r="A209" t="s">
        <v>677</v>
      </c>
      <c r="B209" t="s">
        <v>678</v>
      </c>
      <c r="C209" t="s">
        <v>679</v>
      </c>
      <c r="D209" t="s">
        <v>36</v>
      </c>
      <c r="E209" t="s">
        <v>146</v>
      </c>
      <c r="F209" t="s">
        <v>101</v>
      </c>
      <c r="G209">
        <v>69.989999999999995</v>
      </c>
      <c r="H209">
        <v>139.74</v>
      </c>
      <c r="I209">
        <v>14</v>
      </c>
      <c r="J209">
        <v>40</v>
      </c>
      <c r="K209" t="s">
        <v>784</v>
      </c>
      <c r="L209" s="1">
        <v>46266</v>
      </c>
    </row>
    <row r="210" spans="1:12">
      <c r="A210" t="s">
        <v>680</v>
      </c>
      <c r="B210" t="s">
        <v>681</v>
      </c>
      <c r="C210" t="s">
        <v>682</v>
      </c>
      <c r="D210" t="s">
        <v>198</v>
      </c>
      <c r="E210" t="s">
        <v>24</v>
      </c>
      <c r="F210" t="s">
        <v>32</v>
      </c>
      <c r="G210">
        <v>80.069999999999993</v>
      </c>
      <c r="H210">
        <v>186.45</v>
      </c>
      <c r="I210">
        <v>24</v>
      </c>
      <c r="J210">
        <v>10</v>
      </c>
      <c r="K210" t="s">
        <v>44</v>
      </c>
      <c r="L210" s="1">
        <v>46100</v>
      </c>
    </row>
    <row r="211" spans="1:12">
      <c r="A211" t="s">
        <v>683</v>
      </c>
      <c r="B211" t="s">
        <v>684</v>
      </c>
      <c r="C211" t="s">
        <v>685</v>
      </c>
      <c r="D211" t="s">
        <v>30</v>
      </c>
      <c r="F211" t="s">
        <v>74</v>
      </c>
      <c r="G211">
        <v>79.91</v>
      </c>
      <c r="H211">
        <v>129.03</v>
      </c>
      <c r="I211">
        <v>220</v>
      </c>
      <c r="J211">
        <v>10</v>
      </c>
      <c r="K211" t="s">
        <v>50</v>
      </c>
      <c r="L211" s="1">
        <v>46246</v>
      </c>
    </row>
    <row r="212" spans="1:12">
      <c r="A212" t="s">
        <v>686</v>
      </c>
      <c r="B212" t="s">
        <v>687</v>
      </c>
      <c r="C212" t="s">
        <v>688</v>
      </c>
      <c r="D212" t="s">
        <v>17</v>
      </c>
      <c r="E212" t="s">
        <v>842</v>
      </c>
      <c r="F212" t="s">
        <v>79</v>
      </c>
      <c r="G212">
        <v>28.19</v>
      </c>
      <c r="H212">
        <v>59.95</v>
      </c>
      <c r="I212">
        <v>214</v>
      </c>
      <c r="J212">
        <v>30</v>
      </c>
      <c r="K212" t="s">
        <v>44</v>
      </c>
      <c r="L212" s="1">
        <v>45380</v>
      </c>
    </row>
    <row r="213" spans="1:12">
      <c r="A213" t="s">
        <v>689</v>
      </c>
      <c r="B213" t="s">
        <v>690</v>
      </c>
      <c r="C213" t="s">
        <v>691</v>
      </c>
      <c r="D213" t="s">
        <v>73</v>
      </c>
      <c r="E213" t="s">
        <v>184</v>
      </c>
      <c r="F213" t="s">
        <v>19</v>
      </c>
      <c r="G213">
        <v>40.200000000000003</v>
      </c>
      <c r="H213">
        <v>58.74</v>
      </c>
      <c r="I213">
        <v>144</v>
      </c>
      <c r="J213">
        <v>40</v>
      </c>
      <c r="K213" t="s">
        <v>97</v>
      </c>
      <c r="L213" s="1">
        <v>46267</v>
      </c>
    </row>
    <row r="214" spans="1:12">
      <c r="A214" t="s">
        <v>692</v>
      </c>
      <c r="B214" t="s">
        <v>693</v>
      </c>
      <c r="C214" t="s">
        <v>694</v>
      </c>
      <c r="D214" t="s">
        <v>850</v>
      </c>
      <c r="E214" t="s">
        <v>48</v>
      </c>
      <c r="F214" t="s">
        <v>25</v>
      </c>
      <c r="G214">
        <v>57.59</v>
      </c>
      <c r="H214">
        <v>121.19</v>
      </c>
      <c r="I214">
        <v>96</v>
      </c>
      <c r="J214">
        <v>5</v>
      </c>
      <c r="K214" t="s">
        <v>44</v>
      </c>
      <c r="L214" s="1">
        <v>45917</v>
      </c>
    </row>
    <row r="215" spans="1:12">
      <c r="A215" t="s">
        <v>695</v>
      </c>
      <c r="B215" t="s">
        <v>696</v>
      </c>
      <c r="C215" t="s">
        <v>697</v>
      </c>
      <c r="D215" t="s">
        <v>73</v>
      </c>
      <c r="E215" t="s">
        <v>843</v>
      </c>
      <c r="F215" t="s">
        <v>25</v>
      </c>
      <c r="G215">
        <v>21.65</v>
      </c>
      <c r="H215">
        <v>31.57</v>
      </c>
      <c r="I215">
        <v>94</v>
      </c>
      <c r="J215">
        <v>5</v>
      </c>
      <c r="K215" t="s">
        <v>20</v>
      </c>
      <c r="L215" s="1">
        <v>45945</v>
      </c>
    </row>
    <row r="216" spans="1:12">
      <c r="A216" t="s">
        <v>698</v>
      </c>
      <c r="B216" t="s">
        <v>844</v>
      </c>
      <c r="C216" t="s">
        <v>700</v>
      </c>
      <c r="D216" t="s">
        <v>87</v>
      </c>
      <c r="E216" t="s">
        <v>845</v>
      </c>
      <c r="F216" t="s">
        <v>49</v>
      </c>
      <c r="G216">
        <v>10.75</v>
      </c>
      <c r="H216">
        <v>22.4</v>
      </c>
      <c r="I216">
        <v>246</v>
      </c>
      <c r="J216">
        <v>5</v>
      </c>
      <c r="K216" t="s">
        <v>50</v>
      </c>
      <c r="L216" s="1">
        <v>46248</v>
      </c>
    </row>
    <row r="217" spans="1:12">
      <c r="A217" t="s">
        <v>701</v>
      </c>
      <c r="B217" t="s">
        <v>702</v>
      </c>
      <c r="C217" t="s">
        <v>703</v>
      </c>
      <c r="D217" t="s">
        <v>198</v>
      </c>
      <c r="E217" t="s">
        <v>31</v>
      </c>
      <c r="F217" t="s">
        <v>159</v>
      </c>
      <c r="G217">
        <v>55.66</v>
      </c>
      <c r="H217">
        <v>80.290000000000006</v>
      </c>
      <c r="I217">
        <v>118</v>
      </c>
      <c r="J217">
        <v>30</v>
      </c>
      <c r="K217" t="s">
        <v>20</v>
      </c>
      <c r="L217" s="1">
        <v>46275</v>
      </c>
    </row>
    <row r="218" spans="1:12">
      <c r="A218" t="s">
        <v>704</v>
      </c>
      <c r="B218" t="s">
        <v>846</v>
      </c>
      <c r="C218" t="s">
        <v>706</v>
      </c>
      <c r="D218" t="s">
        <v>54</v>
      </c>
      <c r="E218" t="s">
        <v>121</v>
      </c>
      <c r="F218" t="s">
        <v>74</v>
      </c>
      <c r="G218">
        <v>28.92</v>
      </c>
      <c r="H218">
        <v>70.12</v>
      </c>
      <c r="I218">
        <v>219</v>
      </c>
      <c r="J218">
        <v>25</v>
      </c>
      <c r="K218" t="s">
        <v>26</v>
      </c>
      <c r="L218" s="1">
        <v>45520</v>
      </c>
    </row>
    <row r="219" spans="1:12">
      <c r="A219" t="s">
        <v>707</v>
      </c>
      <c r="B219" t="s">
        <v>708</v>
      </c>
      <c r="C219" t="s">
        <v>709</v>
      </c>
      <c r="D219" t="s">
        <v>17</v>
      </c>
      <c r="E219" t="s">
        <v>31</v>
      </c>
      <c r="F219" t="s">
        <v>79</v>
      </c>
      <c r="G219">
        <v>9.25</v>
      </c>
      <c r="H219">
        <v>13.09</v>
      </c>
      <c r="I219">
        <v>89</v>
      </c>
      <c r="J219">
        <v>30</v>
      </c>
      <c r="K219" t="s">
        <v>44</v>
      </c>
      <c r="L219" s="1">
        <v>46089</v>
      </c>
    </row>
    <row r="220" spans="1:12">
      <c r="A220" t="s">
        <v>710</v>
      </c>
      <c r="B220" t="s">
        <v>847</v>
      </c>
      <c r="C220" t="s">
        <v>712</v>
      </c>
      <c r="D220" t="s">
        <v>54</v>
      </c>
      <c r="E220" t="s">
        <v>184</v>
      </c>
      <c r="F220" t="s">
        <v>32</v>
      </c>
      <c r="G220">
        <v>34.67</v>
      </c>
      <c r="H220">
        <v>63.08</v>
      </c>
      <c r="I220">
        <v>246</v>
      </c>
      <c r="J220">
        <v>10</v>
      </c>
      <c r="K220" t="s">
        <v>50</v>
      </c>
      <c r="L220" s="1">
        <v>46065</v>
      </c>
    </row>
    <row r="221" spans="1:12">
      <c r="A221" t="s">
        <v>713</v>
      </c>
      <c r="B221" t="s">
        <v>714</v>
      </c>
      <c r="C221" t="s">
        <v>715</v>
      </c>
      <c r="D221" t="s">
        <v>30</v>
      </c>
      <c r="E221" t="s">
        <v>24</v>
      </c>
      <c r="F221" t="s">
        <v>74</v>
      </c>
      <c r="G221">
        <v>67.540000000000006</v>
      </c>
      <c r="H221">
        <v>133.32</v>
      </c>
      <c r="I221">
        <v>142</v>
      </c>
      <c r="J221">
        <v>5</v>
      </c>
      <c r="K221" t="s">
        <v>38</v>
      </c>
      <c r="L221" s="1">
        <v>45723</v>
      </c>
    </row>
    <row r="222" spans="1:12">
      <c r="A222" t="s">
        <v>635</v>
      </c>
      <c r="B222" t="s">
        <v>636</v>
      </c>
      <c r="C222" t="s">
        <v>637</v>
      </c>
      <c r="D222" t="s">
        <v>73</v>
      </c>
      <c r="E222" t="s">
        <v>184</v>
      </c>
      <c r="F222" t="s">
        <v>49</v>
      </c>
      <c r="G222">
        <v>16.87</v>
      </c>
      <c r="H222">
        <v>37.799999999999997</v>
      </c>
      <c r="I222">
        <v>24</v>
      </c>
      <c r="J222">
        <v>25</v>
      </c>
      <c r="K222" t="s">
        <v>44</v>
      </c>
      <c r="L222" s="1">
        <v>45591</v>
      </c>
    </row>
    <row r="223" spans="1:12">
      <c r="A223" t="s">
        <v>338</v>
      </c>
      <c r="B223" t="s">
        <v>339</v>
      </c>
      <c r="C223" t="s">
        <v>340</v>
      </c>
      <c r="D223" t="s">
        <v>850</v>
      </c>
      <c r="E223" t="s">
        <v>43</v>
      </c>
      <c r="F223" t="s">
        <v>37</v>
      </c>
      <c r="G223">
        <v>62.48</v>
      </c>
      <c r="H223">
        <v>150.33000000000001</v>
      </c>
      <c r="I223">
        <v>62</v>
      </c>
      <c r="J223">
        <v>25</v>
      </c>
      <c r="K223" t="s">
        <v>38</v>
      </c>
      <c r="L223" t="s">
        <v>848</v>
      </c>
    </row>
    <row r="224" spans="1:12">
      <c r="A224" t="s">
        <v>587</v>
      </c>
      <c r="B224" t="s">
        <v>588</v>
      </c>
      <c r="C224" t="s">
        <v>589</v>
      </c>
      <c r="D224" t="s">
        <v>17</v>
      </c>
      <c r="E224" t="s">
        <v>146</v>
      </c>
      <c r="F224" t="s">
        <v>25</v>
      </c>
      <c r="G224">
        <v>31.17</v>
      </c>
      <c r="H224">
        <v>57.11</v>
      </c>
      <c r="I224">
        <v>57</v>
      </c>
      <c r="J224">
        <v>40</v>
      </c>
      <c r="K224" t="s">
        <v>50</v>
      </c>
      <c r="L224" s="1">
        <v>45589</v>
      </c>
    </row>
    <row r="225" spans="1:12">
      <c r="A225" t="s">
        <v>557</v>
      </c>
      <c r="B225" t="s">
        <v>558</v>
      </c>
      <c r="C225" t="s">
        <v>559</v>
      </c>
      <c r="D225" t="s">
        <v>54</v>
      </c>
      <c r="E225" t="s">
        <v>735</v>
      </c>
      <c r="F225" t="s">
        <v>25</v>
      </c>
      <c r="G225">
        <v>54.78</v>
      </c>
      <c r="H225">
        <v>119.59</v>
      </c>
      <c r="I225">
        <v>25</v>
      </c>
      <c r="J225">
        <v>12</v>
      </c>
      <c r="K225" t="s">
        <v>38</v>
      </c>
      <c r="L225" s="1">
        <v>46011</v>
      </c>
    </row>
    <row r="226" spans="1:12">
      <c r="A226" t="s">
        <v>650</v>
      </c>
      <c r="B226" t="s">
        <v>651</v>
      </c>
      <c r="C226" t="s">
        <v>652</v>
      </c>
      <c r="D226" t="s">
        <v>36</v>
      </c>
      <c r="E226" t="s">
        <v>64</v>
      </c>
      <c r="F226" t="s">
        <v>159</v>
      </c>
      <c r="G226">
        <v>25.66</v>
      </c>
      <c r="H226">
        <v>42.23</v>
      </c>
      <c r="I226">
        <v>179</v>
      </c>
      <c r="J226">
        <v>10</v>
      </c>
      <c r="K226" t="s">
        <v>38</v>
      </c>
      <c r="L226" s="1">
        <v>45946</v>
      </c>
    </row>
    <row r="227" spans="1:12">
      <c r="A227" t="s">
        <v>66</v>
      </c>
      <c r="B227" t="s">
        <v>67</v>
      </c>
      <c r="C227" t="s">
        <v>68</v>
      </c>
      <c r="D227" t="s">
        <v>42</v>
      </c>
      <c r="E227" t="s">
        <v>69</v>
      </c>
      <c r="F227" t="s">
        <v>743</v>
      </c>
      <c r="G227">
        <v>39.56</v>
      </c>
      <c r="H227">
        <v>77.19</v>
      </c>
      <c r="I227">
        <v>42</v>
      </c>
      <c r="J227">
        <v>15</v>
      </c>
      <c r="K227" t="s">
        <v>38</v>
      </c>
      <c r="L227" s="1">
        <v>45799</v>
      </c>
    </row>
    <row r="228" spans="1:12">
      <c r="A228" t="s">
        <v>195</v>
      </c>
      <c r="B228" t="s">
        <v>196</v>
      </c>
      <c r="C228" t="s">
        <v>197</v>
      </c>
      <c r="D228" t="s">
        <v>198</v>
      </c>
      <c r="E228" t="s">
        <v>48</v>
      </c>
      <c r="F228" t="s">
        <v>19</v>
      </c>
      <c r="G228">
        <v>42.77</v>
      </c>
      <c r="H228">
        <v>58.76</v>
      </c>
      <c r="I228">
        <v>187</v>
      </c>
      <c r="J228">
        <v>20</v>
      </c>
      <c r="K228" t="s">
        <v>26</v>
      </c>
      <c r="L228" s="1">
        <v>46246</v>
      </c>
    </row>
    <row r="229" spans="1:12">
      <c r="A229" t="s">
        <v>347</v>
      </c>
      <c r="B229" t="s">
        <v>348</v>
      </c>
      <c r="C229" t="s">
        <v>349</v>
      </c>
      <c r="D229" t="s">
        <v>17</v>
      </c>
      <c r="E229" t="s">
        <v>851</v>
      </c>
      <c r="F229" t="s">
        <v>19</v>
      </c>
      <c r="G229">
        <v>77.92</v>
      </c>
      <c r="H229">
        <v>186.83</v>
      </c>
      <c r="I229">
        <v>131</v>
      </c>
      <c r="J229">
        <v>5</v>
      </c>
      <c r="K229" t="s">
        <v>20</v>
      </c>
      <c r="L229" s="1">
        <v>45714</v>
      </c>
    </row>
    <row r="230" spans="1:12">
      <c r="A230" t="s">
        <v>70</v>
      </c>
      <c r="B230" t="s">
        <v>71</v>
      </c>
      <c r="C230" t="s">
        <v>72</v>
      </c>
      <c r="D230" t="s">
        <v>73</v>
      </c>
      <c r="E230" t="s">
        <v>64</v>
      </c>
      <c r="F230" t="s">
        <v>852</v>
      </c>
      <c r="G230">
        <v>28.15</v>
      </c>
      <c r="H230">
        <v>56.06</v>
      </c>
      <c r="I230">
        <v>254</v>
      </c>
      <c r="J230">
        <v>12</v>
      </c>
      <c r="K230" t="s">
        <v>38</v>
      </c>
      <c r="L230" t="s">
        <v>848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0D51E-AB49-4DAB-A2EC-8A9C8D12ABE6}">
  <dimension ref="A1:A13"/>
  <sheetViews>
    <sheetView workbookViewId="0">
      <selection activeCell="C7" sqref="C7"/>
    </sheetView>
  </sheetViews>
  <sheetFormatPr defaultRowHeight="15"/>
  <cols>
    <col min="1" max="1" width="16.140625" bestFit="1" customWidth="1"/>
  </cols>
  <sheetData>
    <row r="1" spans="1:1">
      <c r="A1" s="3" t="s">
        <v>853</v>
      </c>
    </row>
    <row r="2" spans="1:1">
      <c r="A2" t="s">
        <v>64</v>
      </c>
    </row>
    <row r="3" spans="1:1">
      <c r="A3" t="s">
        <v>24</v>
      </c>
    </row>
    <row r="4" spans="1:1">
      <c r="A4" t="s">
        <v>55</v>
      </c>
    </row>
    <row r="5" spans="1:1">
      <c r="A5" t="s">
        <v>735</v>
      </c>
    </row>
    <row r="6" spans="1:1">
      <c r="A6" t="s">
        <v>48</v>
      </c>
    </row>
    <row r="7" spans="1:1">
      <c r="A7" t="s">
        <v>43</v>
      </c>
    </row>
    <row r="8" spans="1:1">
      <c r="A8" t="s">
        <v>69</v>
      </c>
    </row>
    <row r="9" spans="1:1">
      <c r="A9" t="s">
        <v>83</v>
      </c>
    </row>
    <row r="10" spans="1:1">
      <c r="A10" t="s">
        <v>121</v>
      </c>
    </row>
    <row r="11" spans="1:1">
      <c r="A11" t="s">
        <v>146</v>
      </c>
    </row>
    <row r="12" spans="1:1">
      <c r="A12" t="s">
        <v>31</v>
      </c>
    </row>
    <row r="13" spans="1:1">
      <c r="A13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2026-10-28T18:56:36Z</dcterms:created>
  <dcterms:modified xsi:type="dcterms:W3CDTF">2026-10-30T20:56:57Z</dcterms:modified>
  <cp:category/>
  <cp:contentStatus/>
</cp:coreProperties>
</file>